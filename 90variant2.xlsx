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omrmeroj_backend\"/>
    </mc:Choice>
  </mc:AlternateContent>
  <xr:revisionPtr revIDLastSave="0" documentId="8_{DDB2CCAE-B9CE-4814-B6CE-ADA6690F5B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vollar_Bazasi" sheetId="1" r:id="rId1"/>
    <sheet name="Xulosa_va_Statistika" sheetId="2" r:id="rId2"/>
  </sheets>
  <definedNames>
    <definedName name="_xlnm._FilterDatabase" localSheetId="0" hidden="1">Savollar_Bazasi!$A$1:$I$91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E11" i="2"/>
  <c r="E10" i="2"/>
  <c r="E9" i="2"/>
  <c r="E8" i="2"/>
  <c r="E7" i="2"/>
  <c r="E12" i="2" s="1"/>
  <c r="E3" i="2"/>
  <c r="B3" i="2"/>
  <c r="F8" i="2" l="1"/>
  <c r="F9" i="2"/>
  <c r="F10" i="2"/>
  <c r="F11" i="2"/>
  <c r="F7" i="2"/>
  <c r="F12" i="2" s="1"/>
</calcChain>
</file>

<file path=xl/sharedStrings.xml><?xml version="1.0" encoding="utf-8"?>
<sst xmlns="http://schemas.openxmlformats.org/spreadsheetml/2006/main" count="656" uniqueCount="429">
  <si>
    <t>T/r</t>
  </si>
  <si>
    <t>Fan</t>
  </si>
  <si>
    <t>Savol</t>
  </si>
  <si>
    <t>A</t>
  </si>
  <si>
    <t>B</t>
  </si>
  <si>
    <t>C</t>
  </si>
  <si>
    <t>D</t>
  </si>
  <si>
    <t>To'g'ri javob</t>
  </si>
  <si>
    <t>Ball</t>
  </si>
  <si>
    <t>Ona tili</t>
  </si>
  <si>
    <t>Qaysi so‘z olmosh turkumiga kiradi?</t>
  </si>
  <si>
    <t>Kitob</t>
  </si>
  <si>
    <t>U</t>
  </si>
  <si>
    <t>Go‘zal</t>
  </si>
  <si>
    <t>Yozmoq</t>
  </si>
  <si>
    <t>Qaysi qatorda ot so'z turkumidagi so'z berilgan?</t>
  </si>
  <si>
    <t>Toshkent</t>
  </si>
  <si>
    <t>Tez</t>
  </si>
  <si>
    <t>O'qidi</t>
  </si>
  <si>
    <t>Qizil</t>
  </si>
  <si>
    <t>Sifat darajalaridan biri to'g'ri ko'rsatilgan javobni toping.</t>
  </si>
  <si>
    <t>Qip-qizil</t>
  </si>
  <si>
    <t>Keldi</t>
  </si>
  <si>
    <t>Maktab</t>
  </si>
  <si>
    <t>Biz</t>
  </si>
  <si>
    <t>Fe'lning zamon shakllari nechta?</t>
  </si>
  <si>
    <t>2 ta</t>
  </si>
  <si>
    <t>3 ta</t>
  </si>
  <si>
    <t>4 ta</t>
  </si>
  <si>
    <t>5 ta</t>
  </si>
  <si>
    <t>Sintaksis bo'limida nima o'rganiladi?</t>
  </si>
  <si>
    <t>Tovushlar</t>
  </si>
  <si>
    <t>So'z tarkibi</t>
  </si>
  <si>
    <t>So'z birikmasi va gap</t>
  </si>
  <si>
    <t>Lug'at boyligi</t>
  </si>
  <si>
    <t>Qaysi so'z imlo qoidalariga ko'ra to'g'ri yozilgan?</t>
  </si>
  <si>
    <t>Mashq</t>
  </si>
  <si>
    <t>Mashk</t>
  </si>
  <si>
    <t>Mashx</t>
  </si>
  <si>
    <t>Masq</t>
  </si>
  <si>
    <t>Egasi yashiringan gap turini aniqlang.</t>
  </si>
  <si>
    <t>Shaxsiz gap</t>
  </si>
  <si>
    <t>Shaxsi aniq gap</t>
  </si>
  <si>
    <t>Shaxsi noma'lum gap</t>
  </si>
  <si>
    <t>Atama gap</t>
  </si>
  <si>
    <t>Undosh tovushlar hosil bo'lish o'rniga ko'ra qaysi turga bo'linmaydi?</t>
  </si>
  <si>
    <t>Lab undoshlari</t>
  </si>
  <si>
    <t>Til undoshlari</t>
  </si>
  <si>
    <t>Bo'g'iz undoshi</t>
  </si>
  <si>
    <t>Unli tovushlar</t>
  </si>
  <si>
    <t>O'zbek tilida urg'u ko'pincha so'zning qaysi bo'g'iniga tushadi?</t>
  </si>
  <si>
    <t>Birinchi bo'g'inga</t>
  </si>
  <si>
    <t>Oxirgi bo'g'inga</t>
  </si>
  <si>
    <t>O'rtadagi bo'g'inga</t>
  </si>
  <si>
    <t>Urg'u tushmaydi</t>
  </si>
  <si>
    <t>Ergashgan gapli qo'shma gap tarkibidagi bog'lovchini toping.</t>
  </si>
  <si>
    <t>va</t>
  </si>
  <si>
    <t>chunki</t>
  </si>
  <si>
    <t>yoki</t>
  </si>
  <si>
    <t>hamda</t>
  </si>
  <si>
    <t>Matematika</t>
  </si>
  <si>
    <t>15 + 27 / 3 amalini bajaring.</t>
  </si>
  <si>
    <t>24</t>
  </si>
  <si>
    <t>14</t>
  </si>
  <si>
    <t>21</t>
  </si>
  <si>
    <t>18</t>
  </si>
  <si>
    <t>120 ning 25% ini toping.</t>
  </si>
  <si>
    <t>25</t>
  </si>
  <si>
    <t>30</t>
  </si>
  <si>
    <t>40</t>
  </si>
  <si>
    <t>50</t>
  </si>
  <si>
    <t>Kvadratning tomoni 8 cm bo'lsa, uning yuzini toping.</t>
  </si>
  <si>
    <t>32 cm²</t>
  </si>
  <si>
    <t>64 cm²</t>
  </si>
  <si>
    <t>16 cm²</t>
  </si>
  <si>
    <t>24 cm²</t>
  </si>
  <si>
    <t>Tenglamani yeching: 2x + 10 = 26.</t>
  </si>
  <si>
    <t>6</t>
  </si>
  <si>
    <t>8</t>
  </si>
  <si>
    <t>10</t>
  </si>
  <si>
    <t>12</t>
  </si>
  <si>
    <t>EKUK(12, 18) nimaga teng?</t>
  </si>
  <si>
    <t>36</t>
  </si>
  <si>
    <t>72</t>
  </si>
  <si>
    <t>54</t>
  </si>
  <si>
    <t>To'g'ri to'rtburchakning bo'yi 10 cm, eni 5 cm. Uning perimetrini toping.</t>
  </si>
  <si>
    <t>15 cm</t>
  </si>
  <si>
    <t>30 cm</t>
  </si>
  <si>
    <t>50 cm</t>
  </si>
  <si>
    <t>25 cm</t>
  </si>
  <si>
    <t>3/5 qismi 15 ga teng bo'lgan sonni toping.</t>
  </si>
  <si>
    <t>20</t>
  </si>
  <si>
    <t>45</t>
  </si>
  <si>
    <t>Uchburchakning ichki burchaklari yig'indisi necha daraja?</t>
  </si>
  <si>
    <t>90°</t>
  </si>
  <si>
    <t>180°</t>
  </si>
  <si>
    <t>360°</t>
  </si>
  <si>
    <t>270°</t>
  </si>
  <si>
    <t>2^5 darajaning qiymati nechaga teng?</t>
  </si>
  <si>
    <t>16</t>
  </si>
  <si>
    <t>32</t>
  </si>
  <si>
    <t>64</t>
  </si>
  <si>
    <t>Sonli ketma-ketlikni davom ettiring: 2, 4, 8, 16, ...</t>
  </si>
  <si>
    <t>Tarix</t>
  </si>
  <si>
    <t>Amir Temur qaysi yilda tug'ilgan?</t>
  </si>
  <si>
    <t>1336-yil</t>
  </si>
  <si>
    <t>1346-yil</t>
  </si>
  <si>
    <t>1405-yil</t>
  </si>
  <si>
    <t>1370-yil</t>
  </si>
  <si>
    <t>Somoniylar davlatining poytaxti qaysi shahar bo'lgan?</t>
  </si>
  <si>
    <t>Samarqand</t>
  </si>
  <si>
    <t>Buxoro</t>
  </si>
  <si>
    <t>Xiva</t>
  </si>
  <si>
    <t>Buyuk Ipak yo'li qaysi asrda shakllangan?</t>
  </si>
  <si>
    <t>mil. avv. II asr</t>
  </si>
  <si>
    <t>mil. V asr</t>
  </si>
  <si>
    <t>X asr</t>
  </si>
  <si>
    <t>XV asr</t>
  </si>
  <si>
    <t>Mirzo Ulug'bek qaysi shaharda rasadxona qurdirgan?</t>
  </si>
  <si>
    <t>Shahrisabz</t>
  </si>
  <si>
    <t>Qo'qon</t>
  </si>
  <si>
    <t>Qo'qon xonligi qaysi asrda tashkil topgan?</t>
  </si>
  <si>
    <t>XVII asr boshida</t>
  </si>
  <si>
    <t>XVIII asr boshida</t>
  </si>
  <si>
    <t>XIX asr o'rtalarida</t>
  </si>
  <si>
    <t>XVI asrda</t>
  </si>
  <si>
    <t>Jaloliddin Manguberdi qaysi sulola vakili edi?</t>
  </si>
  <si>
    <t>Temuriylar</t>
  </si>
  <si>
    <t>Anushteginiylar</t>
  </si>
  <si>
    <t>Qoraxoniylar</t>
  </si>
  <si>
    <t>Shayboniylar</t>
  </si>
  <si>
    <t>Qadimgi Baqtriya davlati qaysi hududda joylashgan edi?</t>
  </si>
  <si>
    <t>Surxondaryo va shimoliy Afg'oniston</t>
  </si>
  <si>
    <t>Farg'ona vodiysi</t>
  </si>
  <si>
    <t>Xorazm vohasi</t>
  </si>
  <si>
    <t>Zarafshon vodiysi</t>
  </si>
  <si>
    <t>Al-Xorazmiy qaysi ilmiy dargohda faoliyat yuritgan?</t>
  </si>
  <si>
    <t>Buxoro madrasasi</t>
  </si>
  <si>
    <t>Bayt ul-Hikma</t>
  </si>
  <si>
    <t>Ulug'bek rasadxonasi</t>
  </si>
  <si>
    <t>Al-Azhar</t>
  </si>
  <si>
    <t>O'zbekiston Mustaqilligi qachon e'lon qilingan?</t>
  </si>
  <si>
    <t>1989-yil 21-oktabr</t>
  </si>
  <si>
    <t>1991-yil 31-avgust</t>
  </si>
  <si>
    <t>1992-yil 8-dekabr</t>
  </si>
  <si>
    <t>1991-yil 1-sentabr</t>
  </si>
  <si>
    <t>Boburiylar saltanatiga kim asos solgan?</t>
  </si>
  <si>
    <t>Zahiriddin Muhammad Bobur</t>
  </si>
  <si>
    <t>Humoyun</t>
  </si>
  <si>
    <t>Akbarshoh</t>
  </si>
  <si>
    <t>Shoh Jahon</t>
  </si>
  <si>
    <t>Ingliz tili</t>
  </si>
  <si>
    <t>Choose the correct present simple sentence:</t>
  </si>
  <si>
    <t>She go to school.</t>
  </si>
  <si>
    <t>She goes to school.</t>
  </si>
  <si>
    <t>She going to school.</t>
  </si>
  <si>
    <t>She gone to school.</t>
  </si>
  <si>
    <t>What is the past form of the verb 'buy'?</t>
  </si>
  <si>
    <t>Buyed</t>
  </si>
  <si>
    <t>Bought</t>
  </si>
  <si>
    <t>Buying</t>
  </si>
  <si>
    <t>Buys</t>
  </si>
  <si>
    <t>Identify the correct possessive pronoun: 'This book is ____.'</t>
  </si>
  <si>
    <t>my</t>
  </si>
  <si>
    <t>mine</t>
  </si>
  <si>
    <t>me</t>
  </si>
  <si>
    <t>myself</t>
  </si>
  <si>
    <t>Which word is a synonym for 'happy'?</t>
  </si>
  <si>
    <t>Sad</t>
  </si>
  <si>
    <t>Joyful</t>
  </si>
  <si>
    <t>Angry</t>
  </si>
  <si>
    <t>Tired</t>
  </si>
  <si>
    <t>Choose the correct preposition: 'He is interested _____ learning languages.'</t>
  </si>
  <si>
    <t>at</t>
  </si>
  <si>
    <t>in</t>
  </si>
  <si>
    <t>on</t>
  </si>
  <si>
    <t>with</t>
  </si>
  <si>
    <t>Select the correct plural form of 'child'.</t>
  </si>
  <si>
    <t>childs</t>
  </si>
  <si>
    <t>children</t>
  </si>
  <si>
    <t>childrens</t>
  </si>
  <si>
    <t>childes</t>
  </si>
  <si>
    <t>Fill in the blank: 'If it rains tomorrow, we _____ stay at home.'</t>
  </si>
  <si>
    <t>will</t>
  </si>
  <si>
    <t>would</t>
  </si>
  <si>
    <t>had</t>
  </si>
  <si>
    <t>were</t>
  </si>
  <si>
    <t>Which sentence is in the Present Perfect tense?</t>
  </si>
  <si>
    <t>I watched a movie yesterday.</t>
  </si>
  <si>
    <t>I have finished my homework.</t>
  </si>
  <si>
    <t>I am reading a book.</t>
  </si>
  <si>
    <t>I will call you later.</t>
  </si>
  <si>
    <t>What is the opposite of 'ancient'?</t>
  </si>
  <si>
    <t>Old</t>
  </si>
  <si>
    <t>Modern</t>
  </si>
  <si>
    <t>Historic</t>
  </si>
  <si>
    <t>Antique</t>
  </si>
  <si>
    <t>Choose the correct article: 'She wants to buy _____ apple.'</t>
  </si>
  <si>
    <t>a</t>
  </si>
  <si>
    <t>an</t>
  </si>
  <si>
    <t>the</t>
  </si>
  <si>
    <t>-</t>
  </si>
  <si>
    <t>Identify the comparative form of 'good'.</t>
  </si>
  <si>
    <t>gooder</t>
  </si>
  <si>
    <t>better</t>
  </si>
  <si>
    <t>best</t>
  </si>
  <si>
    <t>more good</t>
  </si>
  <si>
    <t>Select the correct verb form: 'They _____ football when it started to rain.'</t>
  </si>
  <si>
    <t>played</t>
  </si>
  <si>
    <t>were playing</t>
  </si>
  <si>
    <t>are playing</t>
  </si>
  <si>
    <t>play</t>
  </si>
  <si>
    <t>What is the passive voice of 'They built the house'?</t>
  </si>
  <si>
    <t>The house was built.</t>
  </si>
  <si>
    <t>The house is built.</t>
  </si>
  <si>
    <t>The house will be built.</t>
  </si>
  <si>
    <t>The house built.</t>
  </si>
  <si>
    <t>Choose the correct connector: 'He was tired, _____ he continued working.'</t>
  </si>
  <si>
    <t>because</t>
  </si>
  <si>
    <t>but</t>
  </si>
  <si>
    <t>so</t>
  </si>
  <si>
    <t>if</t>
  </si>
  <si>
    <t>Which word is an adjective?</t>
  </si>
  <si>
    <t>Quickly</t>
  </si>
  <si>
    <t>Beauty</t>
  </si>
  <si>
    <t>Beautiful</t>
  </si>
  <si>
    <t>Beautify</t>
  </si>
  <si>
    <t>Complete the sentence: 'You _____ wear a seatbelt while driving.'</t>
  </si>
  <si>
    <t>must</t>
  </si>
  <si>
    <t>might</t>
  </si>
  <si>
    <t>could</t>
  </si>
  <si>
    <t>Choose the correct question tag: 'She is a doctor, _____?'</t>
  </si>
  <si>
    <t>isn't she</t>
  </si>
  <si>
    <t>is she</t>
  </si>
  <si>
    <t>doesn't she</t>
  </si>
  <si>
    <t>hasn't she</t>
  </si>
  <si>
    <t>What is the antonym of 'difficult'?</t>
  </si>
  <si>
    <t>Hard</t>
  </si>
  <si>
    <t>Easy</t>
  </si>
  <si>
    <t>Complex</t>
  </si>
  <si>
    <t>Tough</t>
  </si>
  <si>
    <t>Fill in the blank: 'Neither John _____ Peter came to the party.'</t>
  </si>
  <si>
    <t>or</t>
  </si>
  <si>
    <t>nor</t>
  </si>
  <si>
    <t>and</t>
  </si>
  <si>
    <t>Select the correct meaning of 'look after'.</t>
  </si>
  <si>
    <t>To watch</t>
  </si>
  <si>
    <t>To take care of</t>
  </si>
  <si>
    <t>To search</t>
  </si>
  <si>
    <t>To ignore</t>
  </si>
  <si>
    <t>Choose the sentence with correct word order:</t>
  </si>
  <si>
    <t>Always he gets up early.</t>
  </si>
  <si>
    <t>He gets up early always.</t>
  </si>
  <si>
    <t>He always gets up early.</t>
  </si>
  <si>
    <t>Gets up early he always.</t>
  </si>
  <si>
    <t>Which phrase means 'to postpone'?</t>
  </si>
  <si>
    <t>Put off</t>
  </si>
  <si>
    <t>Put on</t>
  </si>
  <si>
    <t>Call off</t>
  </si>
  <si>
    <t>Take off</t>
  </si>
  <si>
    <t>Fill in the blank: 'There aren't _____ books on the table.'</t>
  </si>
  <si>
    <t>some</t>
  </si>
  <si>
    <t>any</t>
  </si>
  <si>
    <t>much</t>
  </si>
  <si>
    <t>little</t>
  </si>
  <si>
    <t>What is the superlative form of 'expensive'?</t>
  </si>
  <si>
    <t>expensivest</t>
  </si>
  <si>
    <t>more expensive</t>
  </si>
  <si>
    <t>most expensive</t>
  </si>
  <si>
    <t>expensiver</t>
  </si>
  <si>
    <t>Choose the correct conditional form: 'If I _____ rich, I would travel the world.'</t>
  </si>
  <si>
    <t>am</t>
  </si>
  <si>
    <t>will be</t>
  </si>
  <si>
    <t>have been</t>
  </si>
  <si>
    <t>Identify the uncountable noun:</t>
  </si>
  <si>
    <t>Apple</t>
  </si>
  <si>
    <t>Water</t>
  </si>
  <si>
    <t>Chair</t>
  </si>
  <si>
    <t>Book</t>
  </si>
  <si>
    <t>Complete the sentence: 'She has been working here _____ 2020.'</t>
  </si>
  <si>
    <t>for</t>
  </si>
  <si>
    <t>since</t>
  </si>
  <si>
    <t>during</t>
  </si>
  <si>
    <t>from</t>
  </si>
  <si>
    <t>What does 'I'm looking forward to' mean?</t>
  </si>
  <si>
    <t>Eagerly anticipating</t>
  </si>
  <si>
    <t>Searching for</t>
  </si>
  <si>
    <t>Looking behind</t>
  </si>
  <si>
    <t>Forgetting about</t>
  </si>
  <si>
    <t>Select the correct spelling:</t>
  </si>
  <si>
    <t>Neccessary</t>
  </si>
  <si>
    <t>Necessary</t>
  </si>
  <si>
    <t>Necasary</t>
  </si>
  <si>
    <t>Necesary</t>
  </si>
  <si>
    <t>Choose the correct reported speech: He said, 'I am busy.' -&gt; He said that he _____ busy.</t>
  </si>
  <si>
    <t>is</t>
  </si>
  <si>
    <t>was</t>
  </si>
  <si>
    <t>has been</t>
  </si>
  <si>
    <t>f(x) = x³ - 3x funksiyaning hosilasini toping.</t>
  </si>
  <si>
    <t>3x² - 3</t>
  </si>
  <si>
    <t>3x²</t>
  </si>
  <si>
    <t>x² - 3</t>
  </si>
  <si>
    <t>3x³ - 3</t>
  </si>
  <si>
    <t>Tenglamalar sistemasini yeching: x + y = 10, x - y = 4.</t>
  </si>
  <si>
    <t>(7, 3)</t>
  </si>
  <si>
    <t>(6, 4)</t>
  </si>
  <si>
    <t>(8, 2)</t>
  </si>
  <si>
    <t>(5, 5)</t>
  </si>
  <si>
    <t>log₂(x) = 5 tenglamadan x ni toping.</t>
  </si>
  <si>
    <t>sin²(x) + cos²(x) ifodaning qiymati nimaga teng?</t>
  </si>
  <si>
    <t>0</t>
  </si>
  <si>
    <t>1</t>
  </si>
  <si>
    <t>2</t>
  </si>
  <si>
    <t>-1</t>
  </si>
  <si>
    <t>Arifmetik progressiyada a₁ = 3, d = 4 bo'lsa, a₁₀ ni toping.</t>
  </si>
  <si>
    <t>39</t>
  </si>
  <si>
    <t>43</t>
  </si>
  <si>
    <t>37</t>
  </si>
  <si>
    <t>Geometrik progressiyada b₁ = 2, q = 3 bo'lsa, b₄ ni toping.</t>
  </si>
  <si>
    <t>162</t>
  </si>
  <si>
    <t>Vektorlar skalyar ko'paytmasini toping: a = (2, 3), b = (4, -1).</t>
  </si>
  <si>
    <t>5</t>
  </si>
  <si>
    <t>11</t>
  </si>
  <si>
    <t>3</t>
  </si>
  <si>
    <t>Tengsizlikni yeching: 2x - 6 &gt; 0.</t>
  </si>
  <si>
    <t>x &gt; 3</t>
  </si>
  <si>
    <t>x &lt; 3</t>
  </si>
  <si>
    <t>x &gt; 6</t>
  </si>
  <si>
    <t>x &lt; 6</t>
  </si>
  <si>
    <t>Integrelni hisoblang: ∫ 2x dx.</t>
  </si>
  <si>
    <t>x² + C</t>
  </si>
  <si>
    <t>2x² + C</t>
  </si>
  <si>
    <t>x + C</t>
  </si>
  <si>
    <t>x³ + C</t>
  </si>
  <si>
    <t>Radiusi 5 cm bo'lgan doiraning yuzini toping (π ≈ 3.14).</t>
  </si>
  <si>
    <t>31.4 cm²</t>
  </si>
  <si>
    <t>78.5 cm²</t>
  </si>
  <si>
    <t>15.7 cm²</t>
  </si>
  <si>
    <t>100 cm²</t>
  </si>
  <si>
    <t>Kvadrat tenglamaning ildizlari yig'indisini toping: x² - 7x + 12 = 0.</t>
  </si>
  <si>
    <t>7</t>
  </si>
  <si>
    <t>-7</t>
  </si>
  <si>
    <t>-12</t>
  </si>
  <si>
    <t>5! (5 faktorial) ning qiymati nechaga teng?</t>
  </si>
  <si>
    <t>60</t>
  </si>
  <si>
    <t>120</t>
  </si>
  <si>
    <t>720</t>
  </si>
  <si>
    <t>Tomonlari 3 cm, 4 cm, 5 cm bo'lgan uchburchak yuzini toping.</t>
  </si>
  <si>
    <t>6 cm²</t>
  </si>
  <si>
    <t>12 cm²</t>
  </si>
  <si>
    <t>7.5 cm²</t>
  </si>
  <si>
    <t>10 cm²</t>
  </si>
  <si>
    <t>cos(60°) ning qiymati nimaga teng?</t>
  </si>
  <si>
    <t>1/2</t>
  </si>
  <si>
    <t>√3/2</t>
  </si>
  <si>
    <t>√2/2</t>
  </si>
  <si>
    <t>Funksiyaning aniqlanish sohasini toping: f(x) = √(x - 4).</t>
  </si>
  <si>
    <t>x ≥ 4</t>
  </si>
  <si>
    <t>x &gt; 4</t>
  </si>
  <si>
    <t>x ≤ 4</t>
  </si>
  <si>
    <t>x ≠ 4</t>
  </si>
  <si>
    <t>Tenglamani yeching: 3^(x+1) = 27.</t>
  </si>
  <si>
    <t>4</t>
  </si>
  <si>
    <t>Sfera (shar) hajmi formulasini ko'rsating.</t>
  </si>
  <si>
    <t>4/3 π R³</t>
  </si>
  <si>
    <t>4 π R²</t>
  </si>
  <si>
    <t>π R² h</t>
  </si>
  <si>
    <t>1/3 π R² h</t>
  </si>
  <si>
    <t>Parallelogramm asosining uzunligi 8 cm, balandligi 5 cm. Yuzini toping.</t>
  </si>
  <si>
    <t>40 cm²</t>
  </si>
  <si>
    <t>20 cm²</t>
  </si>
  <si>
    <t>13 cm²</t>
  </si>
  <si>
    <t>26 cm²</t>
  </si>
  <si>
    <t>Limitni hisoblang: lim (x-&gt;2) (x² - 4)/(x - 2).</t>
  </si>
  <si>
    <t>Cheksiz</t>
  </si>
  <si>
    <t>Kombinatorika: C(5, 2) guruhlashlar sonini toping.</t>
  </si>
  <si>
    <t>Matritsaning determinantini hisoblang: [[2, 1], [3, 4]].</t>
  </si>
  <si>
    <t>2^x = 1/8 bo'lsa, x ni toping.</t>
  </si>
  <si>
    <t>-3</t>
  </si>
  <si>
    <t>-2</t>
  </si>
  <si>
    <t>1/3</t>
  </si>
  <si>
    <t>Teng yonli uchburchakning asosidagi burchak 50° bo'lsa, uchidagi burchakni toping.</t>
  </si>
  <si>
    <t>80°</t>
  </si>
  <si>
    <t>50°</t>
  </si>
  <si>
    <t>100°</t>
  </si>
  <si>
    <t>60°</t>
  </si>
  <si>
    <t>tg(45°) ning qiymati nechaga teng?</t>
  </si>
  <si>
    <t>√3</t>
  </si>
  <si>
    <t>1/√3</t>
  </si>
  <si>
    <t>To'g'ri to'rtburchakli parallelopipedning o'lchamlari 2, 3 va 4 cm. Hajmini toping.</t>
  </si>
  <si>
    <t>24 cm³</t>
  </si>
  <si>
    <t>9 cm³</t>
  </si>
  <si>
    <t>18 cm³</t>
  </si>
  <si>
    <t>48 cm³</t>
  </si>
  <si>
    <t>A va B hodisalar bog'liq bo'lmasa, P(A va B) nimaga teng?</t>
  </si>
  <si>
    <t>P(A) + P(B)</t>
  </si>
  <si>
    <t>P(A) * P(B)</t>
  </si>
  <si>
    <t>P(A) / P(B)</t>
  </si>
  <si>
    <t>P(A) - P(B)</t>
  </si>
  <si>
    <t>Pyfagor teoremasiga ko'ra gipotenuzani toping (katetlar 6 va 8).</t>
  </si>
  <si>
    <t>100</t>
  </si>
  <si>
    <t>f(x) = sin(x) funksiyaning hosilasi nimaga teng?</t>
  </si>
  <si>
    <t>cos(x)</t>
  </si>
  <si>
    <t>-cos(x)</t>
  </si>
  <si>
    <t>-sin(x)</t>
  </si>
  <si>
    <t>tg(x)</t>
  </si>
  <si>
    <t>Geometrik shakllarning o'xshashlik koeffitsienti k=3 bo'lsa, yuzalari nisbati nechaga teng?</t>
  </si>
  <si>
    <t>9</t>
  </si>
  <si>
    <t>27</t>
  </si>
  <si>
    <t>Logarifmik tengsizlikni yeching: log₃(x) &gt; 2.</t>
  </si>
  <si>
    <t>x &gt; 9</t>
  </si>
  <si>
    <t>x &lt; 9</t>
  </si>
  <si>
    <t>x &gt; 8</t>
  </si>
  <si>
    <t>TEST SAVOLLARI TUZILISHI VA BALLAR TAQSIMOTI</t>
  </si>
  <si>
    <t>Jami Savollar Soni:</t>
  </si>
  <si>
    <t>Jami Maksimal Ball:</t>
  </si>
  <si>
    <t>Blok №</t>
  </si>
  <si>
    <t>Fan va Bosqich Nomi</t>
  </si>
  <si>
    <t>Savollar Soni</t>
  </si>
  <si>
    <t>Har bir savol balli</t>
  </si>
  <si>
    <t>Jami Ball</t>
  </si>
  <si>
    <t>Ulush (%)</t>
  </si>
  <si>
    <t>Ona tili (Majburiy)</t>
  </si>
  <si>
    <t>Matematika (Majburiy)</t>
  </si>
  <si>
    <t>Tarix (Majburiy)</t>
  </si>
  <si>
    <t>Ingliz tili (Asosiy / Mutaxassislik)</t>
  </si>
  <si>
    <t>Matematika (Asosiy / Mutaxassislik)</t>
  </si>
  <si>
    <t>Jami</t>
  </si>
  <si>
    <t>Barcha bloklar bo'yicha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</si>
</sst>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E293B"/>
      <name val="Segoe UI"/>
    </font>
    <font>
      <b/>
      <sz val="10"/>
      <color rgb="FF334155"/>
      <name val="Segoe UI"/>
    </font>
    <font>
      <b/>
      <sz val="10"/>
      <color rgb="FF15803D"/>
      <name val="Segoe UI"/>
    </font>
    <font>
      <b/>
      <sz val="10"/>
      <color rgb="FF0F4C5C"/>
      <name val="Segoe UI"/>
    </font>
    <font>
      <b/>
      <sz val="14"/>
      <color rgb="FFFFFFFF"/>
      <name val="Segoe UI"/>
    </font>
    <font>
      <b/>
      <sz val="11"/>
      <color rgb="FF334155"/>
      <name val="Segoe UI"/>
    </font>
    <font>
      <b/>
      <sz val="14"/>
      <color rgb="FF0F4C5C"/>
      <name val="Segoe UI"/>
    </font>
    <font>
      <b/>
      <sz val="11"/>
      <color rgb="FF0F4C5C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0F4C5C"/>
        <bgColor rgb="FF0F4C5C"/>
      </patternFill>
    </fill>
    <fill>
      <patternFill patternType="solid">
        <fgColor rgb="FFF8FAFC"/>
        <bgColor rgb="FFF8FAFC"/>
      </patternFill>
    </fill>
    <fill>
      <patternFill patternType="solid">
        <fgColor rgb="FFF0FDF4"/>
        <bgColor rgb="FFF0FDF4"/>
      </patternFill>
    </fill>
    <fill>
      <patternFill patternType="solid">
        <fgColor rgb="FFFFFFFF"/>
        <bgColor rgb="FFFFFFFF"/>
      </patternFill>
    </fill>
    <fill>
      <patternFill patternType="solid">
        <fgColor rgb="FFE0F2FE"/>
        <bgColor rgb="FFE0F2F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7" fillId="0" borderId="0" xfId="0" applyFont="1"/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9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left"/>
    </xf>
    <xf numFmtId="164" fontId="9" fillId="6" borderId="1" xfId="0" applyNumberFormat="1" applyFont="1" applyFill="1" applyBorder="1" applyAlignment="1">
      <alignment horizontal="right"/>
    </xf>
    <xf numFmtId="165" fontId="9" fillId="6" borderId="1" xfId="0" applyNumberFormat="1" applyFont="1" applyFill="1" applyBorder="1" applyAlignment="1">
      <alignment horizontal="right"/>
    </xf>
    <xf numFmtId="0" fontId="6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Bloklar Bo'yicha Jami Ballar Taqsimoti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Xulosa_va_Statistika!$E$6</c:f>
              <c:strCache>
                <c:ptCount val="1"/>
                <c:pt idx="0">
                  <c:v>Jami Ball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Xulosa_va_Statistika!$B$7:$B$11</c:f>
              <c:strCache>
                <c:ptCount val="5"/>
                <c:pt idx="0">
                  <c:v>Ona tili (Majburiy)</c:v>
                </c:pt>
                <c:pt idx="1">
                  <c:v>Matematika (Majburiy)</c:v>
                </c:pt>
                <c:pt idx="2">
                  <c:v>Tarix (Majburiy)</c:v>
                </c:pt>
                <c:pt idx="3">
                  <c:v>Ingliz tili (Asosiy / Mutaxassislik)</c:v>
                </c:pt>
                <c:pt idx="4">
                  <c:v>Matematika (Asosiy / Mutaxassislik)</c:v>
                </c:pt>
              </c:strCache>
            </c:strRef>
          </c:cat>
          <c:val>
            <c:numRef>
              <c:f>Xulosa_va_Statistika!$E$7:$E$11</c:f>
              <c:numCache>
                <c:formatCode>0.0</c:formatCode>
                <c:ptCount val="5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63</c:v>
                </c:pt>
                <c:pt idx="4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D-4023-8590-9D7E87E13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Blok / Fan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Jami Ball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5" customWidth="1"/>
    <col min="3" max="3" width="55" customWidth="1"/>
    <col min="4" max="7" width="22" customWidth="1"/>
    <col min="8" max="8" width="15" customWidth="1"/>
    <col min="9" max="9" width="10" customWidth="1"/>
  </cols>
  <sheetData>
    <row r="1" spans="1:9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1.95" customHeight="1" x14ac:dyDescent="0.25">
      <c r="A2" s="2">
        <v>1</v>
      </c>
      <c r="B2" s="3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5" t="s">
        <v>4</v>
      </c>
      <c r="I2" s="6">
        <v>1.1000000000000001</v>
      </c>
    </row>
    <row r="3" spans="1:9" ht="21.95" customHeight="1" x14ac:dyDescent="0.25">
      <c r="A3" s="7">
        <v>2</v>
      </c>
      <c r="B3" s="8" t="s">
        <v>9</v>
      </c>
      <c r="C3" s="9" t="s">
        <v>15</v>
      </c>
      <c r="D3" s="9" t="s">
        <v>16</v>
      </c>
      <c r="E3" s="9" t="s">
        <v>17</v>
      </c>
      <c r="F3" s="9" t="s">
        <v>18</v>
      </c>
      <c r="G3" s="9" t="s">
        <v>19</v>
      </c>
      <c r="H3" s="5" t="s">
        <v>3</v>
      </c>
      <c r="I3" s="10">
        <v>1.1000000000000001</v>
      </c>
    </row>
    <row r="4" spans="1:9" ht="21.95" customHeight="1" x14ac:dyDescent="0.25">
      <c r="A4" s="2">
        <v>3</v>
      </c>
      <c r="B4" s="3" t="s">
        <v>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5" t="s">
        <v>3</v>
      </c>
      <c r="I4" s="6">
        <v>1.1000000000000001</v>
      </c>
    </row>
    <row r="5" spans="1:9" ht="21.95" customHeight="1" x14ac:dyDescent="0.25">
      <c r="A5" s="7">
        <v>4</v>
      </c>
      <c r="B5" s="8" t="s">
        <v>9</v>
      </c>
      <c r="C5" s="9" t="s">
        <v>25</v>
      </c>
      <c r="D5" s="9" t="s">
        <v>26</v>
      </c>
      <c r="E5" s="9" t="s">
        <v>27</v>
      </c>
      <c r="F5" s="9" t="s">
        <v>28</v>
      </c>
      <c r="G5" s="9" t="s">
        <v>29</v>
      </c>
      <c r="H5" s="5" t="s">
        <v>4</v>
      </c>
      <c r="I5" s="10">
        <v>1.1000000000000001</v>
      </c>
    </row>
    <row r="6" spans="1:9" ht="21.95" customHeight="1" x14ac:dyDescent="0.25">
      <c r="A6" s="2">
        <v>5</v>
      </c>
      <c r="B6" s="3" t="s">
        <v>9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34</v>
      </c>
      <c r="H6" s="5" t="s">
        <v>5</v>
      </c>
      <c r="I6" s="6">
        <v>1.1000000000000001</v>
      </c>
    </row>
    <row r="7" spans="1:9" ht="21.95" customHeight="1" x14ac:dyDescent="0.25">
      <c r="A7" s="7">
        <v>6</v>
      </c>
      <c r="B7" s="8" t="s">
        <v>9</v>
      </c>
      <c r="C7" s="9" t="s">
        <v>35</v>
      </c>
      <c r="D7" s="9" t="s">
        <v>36</v>
      </c>
      <c r="E7" s="9" t="s">
        <v>37</v>
      </c>
      <c r="F7" s="9" t="s">
        <v>38</v>
      </c>
      <c r="G7" s="9" t="s">
        <v>39</v>
      </c>
      <c r="H7" s="5" t="s">
        <v>3</v>
      </c>
      <c r="I7" s="10">
        <v>1.1000000000000001</v>
      </c>
    </row>
    <row r="8" spans="1:9" ht="21.95" customHeight="1" x14ac:dyDescent="0.25">
      <c r="A8" s="2">
        <v>7</v>
      </c>
      <c r="B8" s="3" t="s">
        <v>9</v>
      </c>
      <c r="C8" s="4" t="s">
        <v>40</v>
      </c>
      <c r="D8" s="4" t="s">
        <v>41</v>
      </c>
      <c r="E8" s="4" t="s">
        <v>42</v>
      </c>
      <c r="F8" s="4" t="s">
        <v>43</v>
      </c>
      <c r="G8" s="4" t="s">
        <v>44</v>
      </c>
      <c r="H8" s="5" t="s">
        <v>4</v>
      </c>
      <c r="I8" s="6">
        <v>1.1000000000000001</v>
      </c>
    </row>
    <row r="9" spans="1:9" ht="21.95" customHeight="1" x14ac:dyDescent="0.25">
      <c r="A9" s="7">
        <v>8</v>
      </c>
      <c r="B9" s="8" t="s">
        <v>9</v>
      </c>
      <c r="C9" s="9" t="s">
        <v>45</v>
      </c>
      <c r="D9" s="9" t="s">
        <v>46</v>
      </c>
      <c r="E9" s="9" t="s">
        <v>47</v>
      </c>
      <c r="F9" s="9" t="s">
        <v>48</v>
      </c>
      <c r="G9" s="9" t="s">
        <v>49</v>
      </c>
      <c r="H9" s="5" t="s">
        <v>6</v>
      </c>
      <c r="I9" s="10">
        <v>1.1000000000000001</v>
      </c>
    </row>
    <row r="10" spans="1:9" ht="21.95" customHeight="1" x14ac:dyDescent="0.25">
      <c r="A10" s="2">
        <v>9</v>
      </c>
      <c r="B10" s="3" t="s">
        <v>9</v>
      </c>
      <c r="C10" s="4" t="s">
        <v>50</v>
      </c>
      <c r="D10" s="4" t="s">
        <v>51</v>
      </c>
      <c r="E10" s="4" t="s">
        <v>52</v>
      </c>
      <c r="F10" s="4" t="s">
        <v>53</v>
      </c>
      <c r="G10" s="4" t="s">
        <v>54</v>
      </c>
      <c r="H10" s="5" t="s">
        <v>4</v>
      </c>
      <c r="I10" s="6">
        <v>1.1000000000000001</v>
      </c>
    </row>
    <row r="11" spans="1:9" ht="21.95" customHeight="1" x14ac:dyDescent="0.25">
      <c r="A11" s="7">
        <v>10</v>
      </c>
      <c r="B11" s="8" t="s">
        <v>9</v>
      </c>
      <c r="C11" s="9" t="s">
        <v>55</v>
      </c>
      <c r="D11" s="9" t="s">
        <v>56</v>
      </c>
      <c r="E11" s="9" t="s">
        <v>57</v>
      </c>
      <c r="F11" s="9" t="s">
        <v>58</v>
      </c>
      <c r="G11" s="9" t="s">
        <v>59</v>
      </c>
      <c r="H11" s="5" t="s">
        <v>4</v>
      </c>
      <c r="I11" s="10">
        <v>1.1000000000000001</v>
      </c>
    </row>
    <row r="12" spans="1:9" ht="21.95" customHeight="1" x14ac:dyDescent="0.25">
      <c r="A12" s="2">
        <v>11</v>
      </c>
      <c r="B12" s="3" t="s">
        <v>60</v>
      </c>
      <c r="C12" s="4" t="s">
        <v>61</v>
      </c>
      <c r="D12" s="4" t="s">
        <v>62</v>
      </c>
      <c r="E12" s="4" t="s">
        <v>63</v>
      </c>
      <c r="F12" s="4" t="s">
        <v>64</v>
      </c>
      <c r="G12" s="4" t="s">
        <v>65</v>
      </c>
      <c r="H12" s="5" t="s">
        <v>3</v>
      </c>
      <c r="I12" s="6">
        <v>1.1000000000000001</v>
      </c>
    </row>
    <row r="13" spans="1:9" ht="21.95" customHeight="1" x14ac:dyDescent="0.25">
      <c r="A13" s="7">
        <v>12</v>
      </c>
      <c r="B13" s="8" t="s">
        <v>60</v>
      </c>
      <c r="C13" s="9" t="s">
        <v>66</v>
      </c>
      <c r="D13" s="9" t="s">
        <v>67</v>
      </c>
      <c r="E13" s="9" t="s">
        <v>68</v>
      </c>
      <c r="F13" s="9" t="s">
        <v>69</v>
      </c>
      <c r="G13" s="9" t="s">
        <v>70</v>
      </c>
      <c r="H13" s="5" t="s">
        <v>4</v>
      </c>
      <c r="I13" s="10">
        <v>1.1000000000000001</v>
      </c>
    </row>
    <row r="14" spans="1:9" ht="21.95" customHeight="1" x14ac:dyDescent="0.25">
      <c r="A14" s="2">
        <v>13</v>
      </c>
      <c r="B14" s="3" t="s">
        <v>60</v>
      </c>
      <c r="C14" s="4" t="s">
        <v>71</v>
      </c>
      <c r="D14" s="4" t="s">
        <v>72</v>
      </c>
      <c r="E14" s="4" t="s">
        <v>73</v>
      </c>
      <c r="F14" s="4" t="s">
        <v>74</v>
      </c>
      <c r="G14" s="4" t="s">
        <v>75</v>
      </c>
      <c r="H14" s="5" t="s">
        <v>4</v>
      </c>
      <c r="I14" s="6">
        <v>1.1000000000000001</v>
      </c>
    </row>
    <row r="15" spans="1:9" ht="21.95" customHeight="1" x14ac:dyDescent="0.25">
      <c r="A15" s="7">
        <v>14</v>
      </c>
      <c r="B15" s="8" t="s">
        <v>60</v>
      </c>
      <c r="C15" s="9" t="s">
        <v>76</v>
      </c>
      <c r="D15" s="9" t="s">
        <v>77</v>
      </c>
      <c r="E15" s="9" t="s">
        <v>78</v>
      </c>
      <c r="F15" s="9" t="s">
        <v>79</v>
      </c>
      <c r="G15" s="9" t="s">
        <v>80</v>
      </c>
      <c r="H15" s="5" t="s">
        <v>4</v>
      </c>
      <c r="I15" s="10">
        <v>1.1000000000000001</v>
      </c>
    </row>
    <row r="16" spans="1:9" ht="21.95" customHeight="1" x14ac:dyDescent="0.25">
      <c r="A16" s="2">
        <v>15</v>
      </c>
      <c r="B16" s="3" t="s">
        <v>60</v>
      </c>
      <c r="C16" s="4" t="s">
        <v>81</v>
      </c>
      <c r="D16" s="4" t="s">
        <v>77</v>
      </c>
      <c r="E16" s="4" t="s">
        <v>82</v>
      </c>
      <c r="F16" s="4" t="s">
        <v>83</v>
      </c>
      <c r="G16" s="4" t="s">
        <v>84</v>
      </c>
      <c r="H16" s="5" t="s">
        <v>4</v>
      </c>
      <c r="I16" s="6">
        <v>1.1000000000000001</v>
      </c>
    </row>
    <row r="17" spans="1:9" ht="21.95" customHeight="1" x14ac:dyDescent="0.25">
      <c r="A17" s="7">
        <v>16</v>
      </c>
      <c r="B17" s="8" t="s">
        <v>60</v>
      </c>
      <c r="C17" s="9" t="s">
        <v>85</v>
      </c>
      <c r="D17" s="9" t="s">
        <v>86</v>
      </c>
      <c r="E17" s="9" t="s">
        <v>87</v>
      </c>
      <c r="F17" s="9" t="s">
        <v>88</v>
      </c>
      <c r="G17" s="9" t="s">
        <v>89</v>
      </c>
      <c r="H17" s="5" t="s">
        <v>4</v>
      </c>
      <c r="I17" s="10">
        <v>1.1000000000000001</v>
      </c>
    </row>
    <row r="18" spans="1:9" ht="21.95" customHeight="1" x14ac:dyDescent="0.25">
      <c r="A18" s="2">
        <v>17</v>
      </c>
      <c r="B18" s="3" t="s">
        <v>60</v>
      </c>
      <c r="C18" s="4" t="s">
        <v>90</v>
      </c>
      <c r="D18" s="4" t="s">
        <v>67</v>
      </c>
      <c r="E18" s="4" t="s">
        <v>68</v>
      </c>
      <c r="F18" s="4" t="s">
        <v>91</v>
      </c>
      <c r="G18" s="4" t="s">
        <v>92</v>
      </c>
      <c r="H18" s="5" t="s">
        <v>3</v>
      </c>
      <c r="I18" s="6">
        <v>1.1000000000000001</v>
      </c>
    </row>
    <row r="19" spans="1:9" ht="21.95" customHeight="1" x14ac:dyDescent="0.25">
      <c r="A19" s="7">
        <v>18</v>
      </c>
      <c r="B19" s="8" t="s">
        <v>60</v>
      </c>
      <c r="C19" s="9" t="s">
        <v>93</v>
      </c>
      <c r="D19" s="9" t="s">
        <v>94</v>
      </c>
      <c r="E19" s="9" t="s">
        <v>95</v>
      </c>
      <c r="F19" s="9" t="s">
        <v>96</v>
      </c>
      <c r="G19" s="9" t="s">
        <v>97</v>
      </c>
      <c r="H19" s="5" t="s">
        <v>4</v>
      </c>
      <c r="I19" s="10">
        <v>1.1000000000000001</v>
      </c>
    </row>
    <row r="20" spans="1:9" ht="21.95" customHeight="1" x14ac:dyDescent="0.25">
      <c r="A20" s="2">
        <v>19</v>
      </c>
      <c r="B20" s="3" t="s">
        <v>60</v>
      </c>
      <c r="C20" s="4" t="s">
        <v>98</v>
      </c>
      <c r="D20" s="4" t="s">
        <v>79</v>
      </c>
      <c r="E20" s="4" t="s">
        <v>99</v>
      </c>
      <c r="F20" s="4" t="s">
        <v>100</v>
      </c>
      <c r="G20" s="4" t="s">
        <v>101</v>
      </c>
      <c r="H20" s="5" t="s">
        <v>5</v>
      </c>
      <c r="I20" s="6">
        <v>1.1000000000000001</v>
      </c>
    </row>
    <row r="21" spans="1:9" ht="21.95" customHeight="1" x14ac:dyDescent="0.25">
      <c r="A21" s="7">
        <v>20</v>
      </c>
      <c r="B21" s="8" t="s">
        <v>60</v>
      </c>
      <c r="C21" s="9" t="s">
        <v>102</v>
      </c>
      <c r="D21" s="9" t="s">
        <v>91</v>
      </c>
      <c r="E21" s="9" t="s">
        <v>62</v>
      </c>
      <c r="F21" s="9" t="s">
        <v>100</v>
      </c>
      <c r="G21" s="9" t="s">
        <v>101</v>
      </c>
      <c r="H21" s="5" t="s">
        <v>5</v>
      </c>
      <c r="I21" s="10">
        <v>1.1000000000000001</v>
      </c>
    </row>
    <row r="22" spans="1:9" ht="21.95" customHeight="1" x14ac:dyDescent="0.25">
      <c r="A22" s="2">
        <v>21</v>
      </c>
      <c r="B22" s="3" t="s">
        <v>103</v>
      </c>
      <c r="C22" s="4" t="s">
        <v>104</v>
      </c>
      <c r="D22" s="4" t="s">
        <v>105</v>
      </c>
      <c r="E22" s="4" t="s">
        <v>106</v>
      </c>
      <c r="F22" s="4" t="s">
        <v>107</v>
      </c>
      <c r="G22" s="4" t="s">
        <v>108</v>
      </c>
      <c r="H22" s="5" t="s">
        <v>3</v>
      </c>
      <c r="I22" s="6">
        <v>1.1000000000000001</v>
      </c>
    </row>
    <row r="23" spans="1:9" ht="21.95" customHeight="1" x14ac:dyDescent="0.25">
      <c r="A23" s="7">
        <v>22</v>
      </c>
      <c r="B23" s="8" t="s">
        <v>103</v>
      </c>
      <c r="C23" s="9" t="s">
        <v>109</v>
      </c>
      <c r="D23" s="9" t="s">
        <v>110</v>
      </c>
      <c r="E23" s="9" t="s">
        <v>111</v>
      </c>
      <c r="F23" s="9" t="s">
        <v>16</v>
      </c>
      <c r="G23" s="9" t="s">
        <v>112</v>
      </c>
      <c r="H23" s="5" t="s">
        <v>4</v>
      </c>
      <c r="I23" s="10">
        <v>1.1000000000000001</v>
      </c>
    </row>
    <row r="24" spans="1:9" ht="21.95" customHeight="1" x14ac:dyDescent="0.25">
      <c r="A24" s="2">
        <v>23</v>
      </c>
      <c r="B24" s="3" t="s">
        <v>103</v>
      </c>
      <c r="C24" s="4" t="s">
        <v>113</v>
      </c>
      <c r="D24" s="4" t="s">
        <v>114</v>
      </c>
      <c r="E24" s="4" t="s">
        <v>115</v>
      </c>
      <c r="F24" s="4" t="s">
        <v>116</v>
      </c>
      <c r="G24" s="4" t="s">
        <v>117</v>
      </c>
      <c r="H24" s="5" t="s">
        <v>3</v>
      </c>
      <c r="I24" s="6">
        <v>1.1000000000000001</v>
      </c>
    </row>
    <row r="25" spans="1:9" ht="21.95" customHeight="1" x14ac:dyDescent="0.25">
      <c r="A25" s="7">
        <v>24</v>
      </c>
      <c r="B25" s="8" t="s">
        <v>103</v>
      </c>
      <c r="C25" s="9" t="s">
        <v>118</v>
      </c>
      <c r="D25" s="9" t="s">
        <v>111</v>
      </c>
      <c r="E25" s="9" t="s">
        <v>110</v>
      </c>
      <c r="F25" s="9" t="s">
        <v>119</v>
      </c>
      <c r="G25" s="9" t="s">
        <v>120</v>
      </c>
      <c r="H25" s="5" t="s">
        <v>4</v>
      </c>
      <c r="I25" s="10">
        <v>1.1000000000000001</v>
      </c>
    </row>
    <row r="26" spans="1:9" ht="21.95" customHeight="1" x14ac:dyDescent="0.25">
      <c r="A26" s="2">
        <v>25</v>
      </c>
      <c r="B26" s="3" t="s">
        <v>103</v>
      </c>
      <c r="C26" s="4" t="s">
        <v>121</v>
      </c>
      <c r="D26" s="4" t="s">
        <v>122</v>
      </c>
      <c r="E26" s="4" t="s">
        <v>123</v>
      </c>
      <c r="F26" s="4" t="s">
        <v>124</v>
      </c>
      <c r="G26" s="4" t="s">
        <v>125</v>
      </c>
      <c r="H26" s="5" t="s">
        <v>4</v>
      </c>
      <c r="I26" s="6">
        <v>1.1000000000000001</v>
      </c>
    </row>
    <row r="27" spans="1:9" ht="21.95" customHeight="1" x14ac:dyDescent="0.25">
      <c r="A27" s="7">
        <v>26</v>
      </c>
      <c r="B27" s="8" t="s">
        <v>103</v>
      </c>
      <c r="C27" s="9" t="s">
        <v>126</v>
      </c>
      <c r="D27" s="9" t="s">
        <v>127</v>
      </c>
      <c r="E27" s="9" t="s">
        <v>128</v>
      </c>
      <c r="F27" s="9" t="s">
        <v>129</v>
      </c>
      <c r="G27" s="9" t="s">
        <v>130</v>
      </c>
      <c r="H27" s="5" t="s">
        <v>4</v>
      </c>
      <c r="I27" s="10">
        <v>1.1000000000000001</v>
      </c>
    </row>
    <row r="28" spans="1:9" ht="21.95" customHeight="1" x14ac:dyDescent="0.25">
      <c r="A28" s="2">
        <v>27</v>
      </c>
      <c r="B28" s="3" t="s">
        <v>103</v>
      </c>
      <c r="C28" s="4" t="s">
        <v>131</v>
      </c>
      <c r="D28" s="4" t="s">
        <v>132</v>
      </c>
      <c r="E28" s="4" t="s">
        <v>133</v>
      </c>
      <c r="F28" s="4" t="s">
        <v>134</v>
      </c>
      <c r="G28" s="4" t="s">
        <v>135</v>
      </c>
      <c r="H28" s="5" t="s">
        <v>3</v>
      </c>
      <c r="I28" s="6">
        <v>1.1000000000000001</v>
      </c>
    </row>
    <row r="29" spans="1:9" ht="21.95" customHeight="1" x14ac:dyDescent="0.25">
      <c r="A29" s="7">
        <v>28</v>
      </c>
      <c r="B29" s="8" t="s">
        <v>103</v>
      </c>
      <c r="C29" s="9" t="s">
        <v>136</v>
      </c>
      <c r="D29" s="9" t="s">
        <v>137</v>
      </c>
      <c r="E29" s="9" t="s">
        <v>138</v>
      </c>
      <c r="F29" s="9" t="s">
        <v>139</v>
      </c>
      <c r="G29" s="9" t="s">
        <v>140</v>
      </c>
      <c r="H29" s="5" t="s">
        <v>4</v>
      </c>
      <c r="I29" s="10">
        <v>1.1000000000000001</v>
      </c>
    </row>
    <row r="30" spans="1:9" ht="21.95" customHeight="1" x14ac:dyDescent="0.25">
      <c r="A30" s="2">
        <v>29</v>
      </c>
      <c r="B30" s="3" t="s">
        <v>103</v>
      </c>
      <c r="C30" s="4" t="s">
        <v>141</v>
      </c>
      <c r="D30" s="4" t="s">
        <v>142</v>
      </c>
      <c r="E30" s="4" t="s">
        <v>143</v>
      </c>
      <c r="F30" s="4" t="s">
        <v>144</v>
      </c>
      <c r="G30" s="4" t="s">
        <v>145</v>
      </c>
      <c r="H30" s="5" t="s">
        <v>4</v>
      </c>
      <c r="I30" s="6">
        <v>1.1000000000000001</v>
      </c>
    </row>
    <row r="31" spans="1:9" ht="21.95" customHeight="1" x14ac:dyDescent="0.25">
      <c r="A31" s="7">
        <v>30</v>
      </c>
      <c r="B31" s="8" t="s">
        <v>103</v>
      </c>
      <c r="C31" s="9" t="s">
        <v>146</v>
      </c>
      <c r="D31" s="9" t="s">
        <v>147</v>
      </c>
      <c r="E31" s="9" t="s">
        <v>148</v>
      </c>
      <c r="F31" s="9" t="s">
        <v>149</v>
      </c>
      <c r="G31" s="9" t="s">
        <v>150</v>
      </c>
      <c r="H31" s="5" t="s">
        <v>3</v>
      </c>
      <c r="I31" s="10">
        <v>1.1000000000000001</v>
      </c>
    </row>
    <row r="32" spans="1:9" ht="21.95" customHeight="1" x14ac:dyDescent="0.25">
      <c r="A32" s="2">
        <v>31</v>
      </c>
      <c r="B32" s="3" t="s">
        <v>151</v>
      </c>
      <c r="C32" s="4" t="s">
        <v>152</v>
      </c>
      <c r="D32" s="4" t="s">
        <v>153</v>
      </c>
      <c r="E32" s="4" t="s">
        <v>154</v>
      </c>
      <c r="F32" s="4" t="s">
        <v>155</v>
      </c>
      <c r="G32" s="4" t="s">
        <v>156</v>
      </c>
      <c r="H32" s="5" t="s">
        <v>4</v>
      </c>
      <c r="I32" s="6">
        <v>2.1</v>
      </c>
    </row>
    <row r="33" spans="1:9" ht="21.95" customHeight="1" x14ac:dyDescent="0.25">
      <c r="A33" s="7">
        <v>32</v>
      </c>
      <c r="B33" s="8" t="s">
        <v>151</v>
      </c>
      <c r="C33" s="9" t="s">
        <v>157</v>
      </c>
      <c r="D33" s="9" t="s">
        <v>158</v>
      </c>
      <c r="E33" s="9" t="s">
        <v>159</v>
      </c>
      <c r="F33" s="9" t="s">
        <v>160</v>
      </c>
      <c r="G33" s="9" t="s">
        <v>161</v>
      </c>
      <c r="H33" s="5" t="s">
        <v>4</v>
      </c>
      <c r="I33" s="10">
        <v>2.1</v>
      </c>
    </row>
    <row r="34" spans="1:9" ht="21.95" customHeight="1" x14ac:dyDescent="0.25">
      <c r="A34" s="2">
        <v>33</v>
      </c>
      <c r="B34" s="3" t="s">
        <v>151</v>
      </c>
      <c r="C34" s="4" t="s">
        <v>162</v>
      </c>
      <c r="D34" s="4" t="s">
        <v>163</v>
      </c>
      <c r="E34" s="4" t="s">
        <v>164</v>
      </c>
      <c r="F34" s="4" t="s">
        <v>165</v>
      </c>
      <c r="G34" s="4" t="s">
        <v>166</v>
      </c>
      <c r="H34" s="5" t="s">
        <v>4</v>
      </c>
      <c r="I34" s="6">
        <v>2.1</v>
      </c>
    </row>
    <row r="35" spans="1:9" ht="21.95" customHeight="1" x14ac:dyDescent="0.25">
      <c r="A35" s="7">
        <v>34</v>
      </c>
      <c r="B35" s="8" t="s">
        <v>151</v>
      </c>
      <c r="C35" s="9" t="s">
        <v>167</v>
      </c>
      <c r="D35" s="9" t="s">
        <v>168</v>
      </c>
      <c r="E35" s="9" t="s">
        <v>169</v>
      </c>
      <c r="F35" s="9" t="s">
        <v>170</v>
      </c>
      <c r="G35" s="9" t="s">
        <v>171</v>
      </c>
      <c r="H35" s="5" t="s">
        <v>4</v>
      </c>
      <c r="I35" s="10">
        <v>2.1</v>
      </c>
    </row>
    <row r="36" spans="1:9" ht="21.95" customHeight="1" x14ac:dyDescent="0.25">
      <c r="A36" s="2">
        <v>35</v>
      </c>
      <c r="B36" s="3" t="s">
        <v>151</v>
      </c>
      <c r="C36" s="4" t="s">
        <v>172</v>
      </c>
      <c r="D36" s="4" t="s">
        <v>173</v>
      </c>
      <c r="E36" s="4" t="s">
        <v>174</v>
      </c>
      <c r="F36" s="4" t="s">
        <v>175</v>
      </c>
      <c r="G36" s="4" t="s">
        <v>176</v>
      </c>
      <c r="H36" s="5" t="s">
        <v>4</v>
      </c>
      <c r="I36" s="6">
        <v>2.1</v>
      </c>
    </row>
    <row r="37" spans="1:9" ht="21.95" customHeight="1" x14ac:dyDescent="0.25">
      <c r="A37" s="7">
        <v>36</v>
      </c>
      <c r="B37" s="8" t="s">
        <v>151</v>
      </c>
      <c r="C37" s="9" t="s">
        <v>177</v>
      </c>
      <c r="D37" s="9" t="s">
        <v>178</v>
      </c>
      <c r="E37" s="9" t="s">
        <v>179</v>
      </c>
      <c r="F37" s="9" t="s">
        <v>180</v>
      </c>
      <c r="G37" s="9" t="s">
        <v>181</v>
      </c>
      <c r="H37" s="5" t="s">
        <v>4</v>
      </c>
      <c r="I37" s="10">
        <v>2.1</v>
      </c>
    </row>
    <row r="38" spans="1:9" ht="21.95" customHeight="1" x14ac:dyDescent="0.25">
      <c r="A38" s="2">
        <v>37</v>
      </c>
      <c r="B38" s="3" t="s">
        <v>151</v>
      </c>
      <c r="C38" s="4" t="s">
        <v>182</v>
      </c>
      <c r="D38" s="4" t="s">
        <v>183</v>
      </c>
      <c r="E38" s="4" t="s">
        <v>184</v>
      </c>
      <c r="F38" s="4" t="s">
        <v>185</v>
      </c>
      <c r="G38" s="4" t="s">
        <v>186</v>
      </c>
      <c r="H38" s="5" t="s">
        <v>3</v>
      </c>
      <c r="I38" s="6">
        <v>2.1</v>
      </c>
    </row>
    <row r="39" spans="1:9" ht="21.95" customHeight="1" x14ac:dyDescent="0.25">
      <c r="A39" s="7">
        <v>38</v>
      </c>
      <c r="B39" s="8" t="s">
        <v>151</v>
      </c>
      <c r="C39" s="9" t="s">
        <v>187</v>
      </c>
      <c r="D39" s="9" t="s">
        <v>188</v>
      </c>
      <c r="E39" s="9" t="s">
        <v>189</v>
      </c>
      <c r="F39" s="9" t="s">
        <v>190</v>
      </c>
      <c r="G39" s="9" t="s">
        <v>191</v>
      </c>
      <c r="H39" s="5" t="s">
        <v>4</v>
      </c>
      <c r="I39" s="10">
        <v>2.1</v>
      </c>
    </row>
    <row r="40" spans="1:9" ht="21.95" customHeight="1" x14ac:dyDescent="0.25">
      <c r="A40" s="2">
        <v>39</v>
      </c>
      <c r="B40" s="3" t="s">
        <v>151</v>
      </c>
      <c r="C40" s="4" t="s">
        <v>192</v>
      </c>
      <c r="D40" s="4" t="s">
        <v>193</v>
      </c>
      <c r="E40" s="4" t="s">
        <v>194</v>
      </c>
      <c r="F40" s="4" t="s">
        <v>195</v>
      </c>
      <c r="G40" s="4" t="s">
        <v>196</v>
      </c>
      <c r="H40" s="5" t="s">
        <v>4</v>
      </c>
      <c r="I40" s="6">
        <v>2.1</v>
      </c>
    </row>
    <row r="41" spans="1:9" ht="21.95" customHeight="1" x14ac:dyDescent="0.25">
      <c r="A41" s="7">
        <v>40</v>
      </c>
      <c r="B41" s="8" t="s">
        <v>151</v>
      </c>
      <c r="C41" s="9" t="s">
        <v>197</v>
      </c>
      <c r="D41" s="9" t="s">
        <v>198</v>
      </c>
      <c r="E41" s="9" t="s">
        <v>199</v>
      </c>
      <c r="F41" s="9" t="s">
        <v>200</v>
      </c>
      <c r="G41" s="9" t="s">
        <v>201</v>
      </c>
      <c r="H41" s="5" t="s">
        <v>4</v>
      </c>
      <c r="I41" s="10">
        <v>2.1</v>
      </c>
    </row>
    <row r="42" spans="1:9" ht="21.95" customHeight="1" x14ac:dyDescent="0.25">
      <c r="A42" s="2">
        <v>41</v>
      </c>
      <c r="B42" s="3" t="s">
        <v>151</v>
      </c>
      <c r="C42" s="4" t="s">
        <v>202</v>
      </c>
      <c r="D42" s="4" t="s">
        <v>203</v>
      </c>
      <c r="E42" s="4" t="s">
        <v>204</v>
      </c>
      <c r="F42" s="4" t="s">
        <v>205</v>
      </c>
      <c r="G42" s="4" t="s">
        <v>206</v>
      </c>
      <c r="H42" s="5" t="s">
        <v>4</v>
      </c>
      <c r="I42" s="6">
        <v>2.1</v>
      </c>
    </row>
    <row r="43" spans="1:9" ht="21.95" customHeight="1" x14ac:dyDescent="0.25">
      <c r="A43" s="7">
        <v>42</v>
      </c>
      <c r="B43" s="8" t="s">
        <v>151</v>
      </c>
      <c r="C43" s="9" t="s">
        <v>207</v>
      </c>
      <c r="D43" s="9" t="s">
        <v>208</v>
      </c>
      <c r="E43" s="9" t="s">
        <v>209</v>
      </c>
      <c r="F43" s="9" t="s">
        <v>210</v>
      </c>
      <c r="G43" s="9" t="s">
        <v>211</v>
      </c>
      <c r="H43" s="5" t="s">
        <v>4</v>
      </c>
      <c r="I43" s="10">
        <v>2.1</v>
      </c>
    </row>
    <row r="44" spans="1:9" ht="21.95" customHeight="1" x14ac:dyDescent="0.25">
      <c r="A44" s="2">
        <v>43</v>
      </c>
      <c r="B44" s="3" t="s">
        <v>151</v>
      </c>
      <c r="C44" s="4" t="s">
        <v>212</v>
      </c>
      <c r="D44" s="4" t="s">
        <v>213</v>
      </c>
      <c r="E44" s="4" t="s">
        <v>214</v>
      </c>
      <c r="F44" s="4" t="s">
        <v>215</v>
      </c>
      <c r="G44" s="4" t="s">
        <v>216</v>
      </c>
      <c r="H44" s="5" t="s">
        <v>3</v>
      </c>
      <c r="I44" s="6">
        <v>2.1</v>
      </c>
    </row>
    <row r="45" spans="1:9" ht="21.95" customHeight="1" x14ac:dyDescent="0.25">
      <c r="A45" s="7">
        <v>44</v>
      </c>
      <c r="B45" s="8" t="s">
        <v>151</v>
      </c>
      <c r="C45" s="9" t="s">
        <v>217</v>
      </c>
      <c r="D45" s="9" t="s">
        <v>218</v>
      </c>
      <c r="E45" s="9" t="s">
        <v>219</v>
      </c>
      <c r="F45" s="9" t="s">
        <v>220</v>
      </c>
      <c r="G45" s="9" t="s">
        <v>221</v>
      </c>
      <c r="H45" s="5" t="s">
        <v>4</v>
      </c>
      <c r="I45" s="10">
        <v>2.1</v>
      </c>
    </row>
    <row r="46" spans="1:9" ht="21.95" customHeight="1" x14ac:dyDescent="0.25">
      <c r="A46" s="2">
        <v>45</v>
      </c>
      <c r="B46" s="3" t="s">
        <v>151</v>
      </c>
      <c r="C46" s="4" t="s">
        <v>222</v>
      </c>
      <c r="D46" s="4" t="s">
        <v>223</v>
      </c>
      <c r="E46" s="4" t="s">
        <v>224</v>
      </c>
      <c r="F46" s="4" t="s">
        <v>225</v>
      </c>
      <c r="G46" s="4" t="s">
        <v>226</v>
      </c>
      <c r="H46" s="5" t="s">
        <v>5</v>
      </c>
      <c r="I46" s="6">
        <v>2.1</v>
      </c>
    </row>
    <row r="47" spans="1:9" ht="21.95" customHeight="1" x14ac:dyDescent="0.25">
      <c r="A47" s="7">
        <v>46</v>
      </c>
      <c r="B47" s="8" t="s">
        <v>151</v>
      </c>
      <c r="C47" s="9" t="s">
        <v>227</v>
      </c>
      <c r="D47" s="9" t="s">
        <v>228</v>
      </c>
      <c r="E47" s="9" t="s">
        <v>229</v>
      </c>
      <c r="F47" s="9" t="s">
        <v>230</v>
      </c>
      <c r="G47" s="9" t="s">
        <v>184</v>
      </c>
      <c r="H47" s="5" t="s">
        <v>3</v>
      </c>
      <c r="I47" s="10">
        <v>2.1</v>
      </c>
    </row>
    <row r="48" spans="1:9" ht="21.95" customHeight="1" x14ac:dyDescent="0.25">
      <c r="A48" s="2">
        <v>47</v>
      </c>
      <c r="B48" s="3" t="s">
        <v>151</v>
      </c>
      <c r="C48" s="4" t="s">
        <v>231</v>
      </c>
      <c r="D48" s="4" t="s">
        <v>232</v>
      </c>
      <c r="E48" s="4" t="s">
        <v>233</v>
      </c>
      <c r="F48" s="4" t="s">
        <v>234</v>
      </c>
      <c r="G48" s="4" t="s">
        <v>235</v>
      </c>
      <c r="H48" s="5" t="s">
        <v>3</v>
      </c>
      <c r="I48" s="6">
        <v>2.1</v>
      </c>
    </row>
    <row r="49" spans="1:9" ht="21.95" customHeight="1" x14ac:dyDescent="0.25">
      <c r="A49" s="7">
        <v>48</v>
      </c>
      <c r="B49" s="8" t="s">
        <v>151</v>
      </c>
      <c r="C49" s="9" t="s">
        <v>236</v>
      </c>
      <c r="D49" s="9" t="s">
        <v>237</v>
      </c>
      <c r="E49" s="9" t="s">
        <v>238</v>
      </c>
      <c r="F49" s="9" t="s">
        <v>239</v>
      </c>
      <c r="G49" s="9" t="s">
        <v>240</v>
      </c>
      <c r="H49" s="5" t="s">
        <v>4</v>
      </c>
      <c r="I49" s="10">
        <v>2.1</v>
      </c>
    </row>
    <row r="50" spans="1:9" ht="21.95" customHeight="1" x14ac:dyDescent="0.25">
      <c r="A50" s="2">
        <v>49</v>
      </c>
      <c r="B50" s="3" t="s">
        <v>151</v>
      </c>
      <c r="C50" s="4" t="s">
        <v>241</v>
      </c>
      <c r="D50" s="4" t="s">
        <v>242</v>
      </c>
      <c r="E50" s="4" t="s">
        <v>243</v>
      </c>
      <c r="F50" s="4" t="s">
        <v>244</v>
      </c>
      <c r="G50" s="4" t="s">
        <v>219</v>
      </c>
      <c r="H50" s="5" t="s">
        <v>4</v>
      </c>
      <c r="I50" s="6">
        <v>2.1</v>
      </c>
    </row>
    <row r="51" spans="1:9" ht="21.95" customHeight="1" x14ac:dyDescent="0.25">
      <c r="A51" s="7">
        <v>50</v>
      </c>
      <c r="B51" s="8" t="s">
        <v>151</v>
      </c>
      <c r="C51" s="9" t="s">
        <v>245</v>
      </c>
      <c r="D51" s="9" t="s">
        <v>246</v>
      </c>
      <c r="E51" s="9" t="s">
        <v>247</v>
      </c>
      <c r="F51" s="9" t="s">
        <v>248</v>
      </c>
      <c r="G51" s="9" t="s">
        <v>249</v>
      </c>
      <c r="H51" s="5" t="s">
        <v>4</v>
      </c>
      <c r="I51" s="10">
        <v>2.1</v>
      </c>
    </row>
    <row r="52" spans="1:9" ht="21.95" customHeight="1" x14ac:dyDescent="0.25">
      <c r="A52" s="2">
        <v>51</v>
      </c>
      <c r="B52" s="3" t="s">
        <v>151</v>
      </c>
      <c r="C52" s="4" t="s">
        <v>250</v>
      </c>
      <c r="D52" s="4" t="s">
        <v>251</v>
      </c>
      <c r="E52" s="4" t="s">
        <v>252</v>
      </c>
      <c r="F52" s="4" t="s">
        <v>253</v>
      </c>
      <c r="G52" s="4" t="s">
        <v>254</v>
      </c>
      <c r="H52" s="5" t="s">
        <v>5</v>
      </c>
      <c r="I52" s="6">
        <v>2.1</v>
      </c>
    </row>
    <row r="53" spans="1:9" ht="21.95" customHeight="1" x14ac:dyDescent="0.25">
      <c r="A53" s="7">
        <v>52</v>
      </c>
      <c r="B53" s="8" t="s">
        <v>151</v>
      </c>
      <c r="C53" s="9" t="s">
        <v>255</v>
      </c>
      <c r="D53" s="9" t="s">
        <v>256</v>
      </c>
      <c r="E53" s="9" t="s">
        <v>257</v>
      </c>
      <c r="F53" s="9" t="s">
        <v>258</v>
      </c>
      <c r="G53" s="9" t="s">
        <v>259</v>
      </c>
      <c r="H53" s="5" t="s">
        <v>3</v>
      </c>
      <c r="I53" s="10">
        <v>2.1</v>
      </c>
    </row>
    <row r="54" spans="1:9" ht="21.95" customHeight="1" x14ac:dyDescent="0.25">
      <c r="A54" s="2">
        <v>53</v>
      </c>
      <c r="B54" s="3" t="s">
        <v>151</v>
      </c>
      <c r="C54" s="4" t="s">
        <v>260</v>
      </c>
      <c r="D54" s="4" t="s">
        <v>261</v>
      </c>
      <c r="E54" s="4" t="s">
        <v>262</v>
      </c>
      <c r="F54" s="4" t="s">
        <v>263</v>
      </c>
      <c r="G54" s="4" t="s">
        <v>264</v>
      </c>
      <c r="H54" s="5" t="s">
        <v>4</v>
      </c>
      <c r="I54" s="6">
        <v>2.1</v>
      </c>
    </row>
    <row r="55" spans="1:9" ht="21.95" customHeight="1" x14ac:dyDescent="0.25">
      <c r="A55" s="7">
        <v>54</v>
      </c>
      <c r="B55" s="8" t="s">
        <v>151</v>
      </c>
      <c r="C55" s="9" t="s">
        <v>265</v>
      </c>
      <c r="D55" s="9" t="s">
        <v>266</v>
      </c>
      <c r="E55" s="9" t="s">
        <v>267</v>
      </c>
      <c r="F55" s="9" t="s">
        <v>268</v>
      </c>
      <c r="G55" s="9" t="s">
        <v>269</v>
      </c>
      <c r="H55" s="5" t="s">
        <v>5</v>
      </c>
      <c r="I55" s="10">
        <v>2.1</v>
      </c>
    </row>
    <row r="56" spans="1:9" ht="21.95" customHeight="1" x14ac:dyDescent="0.25">
      <c r="A56" s="2">
        <v>55</v>
      </c>
      <c r="B56" s="3" t="s">
        <v>151</v>
      </c>
      <c r="C56" s="4" t="s">
        <v>270</v>
      </c>
      <c r="D56" s="4" t="s">
        <v>271</v>
      </c>
      <c r="E56" s="4" t="s">
        <v>186</v>
      </c>
      <c r="F56" s="4" t="s">
        <v>272</v>
      </c>
      <c r="G56" s="4" t="s">
        <v>273</v>
      </c>
      <c r="H56" s="5" t="s">
        <v>4</v>
      </c>
      <c r="I56" s="6">
        <v>2.1</v>
      </c>
    </row>
    <row r="57" spans="1:9" ht="21.95" customHeight="1" x14ac:dyDescent="0.25">
      <c r="A57" s="7">
        <v>56</v>
      </c>
      <c r="B57" s="8" t="s">
        <v>151</v>
      </c>
      <c r="C57" s="9" t="s">
        <v>274</v>
      </c>
      <c r="D57" s="9" t="s">
        <v>275</v>
      </c>
      <c r="E57" s="9" t="s">
        <v>276</v>
      </c>
      <c r="F57" s="9" t="s">
        <v>277</v>
      </c>
      <c r="G57" s="9" t="s">
        <v>278</v>
      </c>
      <c r="H57" s="5" t="s">
        <v>4</v>
      </c>
      <c r="I57" s="10">
        <v>2.1</v>
      </c>
    </row>
    <row r="58" spans="1:9" ht="21.95" customHeight="1" x14ac:dyDescent="0.25">
      <c r="A58" s="2">
        <v>57</v>
      </c>
      <c r="B58" s="3" t="s">
        <v>151</v>
      </c>
      <c r="C58" s="4" t="s">
        <v>279</v>
      </c>
      <c r="D58" s="4" t="s">
        <v>280</v>
      </c>
      <c r="E58" s="4" t="s">
        <v>281</v>
      </c>
      <c r="F58" s="4" t="s">
        <v>282</v>
      </c>
      <c r="G58" s="4" t="s">
        <v>283</v>
      </c>
      <c r="H58" s="5" t="s">
        <v>4</v>
      </c>
      <c r="I58" s="6">
        <v>2.1</v>
      </c>
    </row>
    <row r="59" spans="1:9" ht="21.95" customHeight="1" x14ac:dyDescent="0.25">
      <c r="A59" s="7">
        <v>58</v>
      </c>
      <c r="B59" s="8" t="s">
        <v>151</v>
      </c>
      <c r="C59" s="9" t="s">
        <v>284</v>
      </c>
      <c r="D59" s="9" t="s">
        <v>285</v>
      </c>
      <c r="E59" s="9" t="s">
        <v>286</v>
      </c>
      <c r="F59" s="9" t="s">
        <v>287</v>
      </c>
      <c r="G59" s="9" t="s">
        <v>288</v>
      </c>
      <c r="H59" s="5" t="s">
        <v>3</v>
      </c>
      <c r="I59" s="10">
        <v>2.1</v>
      </c>
    </row>
    <row r="60" spans="1:9" ht="21.95" customHeight="1" x14ac:dyDescent="0.25">
      <c r="A60" s="2">
        <v>59</v>
      </c>
      <c r="B60" s="3" t="s">
        <v>151</v>
      </c>
      <c r="C60" s="4" t="s">
        <v>289</v>
      </c>
      <c r="D60" s="4" t="s">
        <v>290</v>
      </c>
      <c r="E60" s="4" t="s">
        <v>291</v>
      </c>
      <c r="F60" s="4" t="s">
        <v>292</v>
      </c>
      <c r="G60" s="4" t="s">
        <v>293</v>
      </c>
      <c r="H60" s="5" t="s">
        <v>4</v>
      </c>
      <c r="I60" s="6">
        <v>2.1</v>
      </c>
    </row>
    <row r="61" spans="1:9" ht="21.95" customHeight="1" x14ac:dyDescent="0.25">
      <c r="A61" s="7">
        <v>60</v>
      </c>
      <c r="B61" s="8" t="s">
        <v>151</v>
      </c>
      <c r="C61" s="9" t="s">
        <v>294</v>
      </c>
      <c r="D61" s="9" t="s">
        <v>295</v>
      </c>
      <c r="E61" s="9" t="s">
        <v>296</v>
      </c>
      <c r="F61" s="9" t="s">
        <v>272</v>
      </c>
      <c r="G61" s="9" t="s">
        <v>297</v>
      </c>
      <c r="H61" s="5" t="s">
        <v>4</v>
      </c>
      <c r="I61" s="10">
        <v>2.1</v>
      </c>
    </row>
    <row r="62" spans="1:9" ht="21.95" customHeight="1" x14ac:dyDescent="0.25">
      <c r="A62" s="2">
        <v>61</v>
      </c>
      <c r="B62" s="3" t="s">
        <v>60</v>
      </c>
      <c r="C62" s="4" t="s">
        <v>298</v>
      </c>
      <c r="D62" s="4" t="s">
        <v>299</v>
      </c>
      <c r="E62" s="4" t="s">
        <v>300</v>
      </c>
      <c r="F62" s="4" t="s">
        <v>301</v>
      </c>
      <c r="G62" s="4" t="s">
        <v>302</v>
      </c>
      <c r="H62" s="5" t="s">
        <v>3</v>
      </c>
      <c r="I62" s="6">
        <v>3.1</v>
      </c>
    </row>
    <row r="63" spans="1:9" ht="21.95" customHeight="1" x14ac:dyDescent="0.25">
      <c r="A63" s="7">
        <v>62</v>
      </c>
      <c r="B63" s="8" t="s">
        <v>60</v>
      </c>
      <c r="C63" s="9" t="s">
        <v>303</v>
      </c>
      <c r="D63" s="9" t="s">
        <v>304</v>
      </c>
      <c r="E63" s="9" t="s">
        <v>305</v>
      </c>
      <c r="F63" s="9" t="s">
        <v>306</v>
      </c>
      <c r="G63" s="9" t="s">
        <v>307</v>
      </c>
      <c r="H63" s="5" t="s">
        <v>3</v>
      </c>
      <c r="I63" s="10">
        <v>3.1</v>
      </c>
    </row>
    <row r="64" spans="1:9" ht="21.95" customHeight="1" x14ac:dyDescent="0.25">
      <c r="A64" s="2">
        <v>63</v>
      </c>
      <c r="B64" s="3" t="s">
        <v>60</v>
      </c>
      <c r="C64" s="4" t="s">
        <v>308</v>
      </c>
      <c r="D64" s="4" t="s">
        <v>79</v>
      </c>
      <c r="E64" s="4" t="s">
        <v>67</v>
      </c>
      <c r="F64" s="4" t="s">
        <v>100</v>
      </c>
      <c r="G64" s="4" t="s">
        <v>101</v>
      </c>
      <c r="H64" s="5" t="s">
        <v>5</v>
      </c>
      <c r="I64" s="6">
        <v>3.1</v>
      </c>
    </row>
    <row r="65" spans="1:9" ht="21.95" customHeight="1" x14ac:dyDescent="0.25">
      <c r="A65" s="7">
        <v>64</v>
      </c>
      <c r="B65" s="8" t="s">
        <v>60</v>
      </c>
      <c r="C65" s="9" t="s">
        <v>309</v>
      </c>
      <c r="D65" s="9" t="s">
        <v>310</v>
      </c>
      <c r="E65" s="9" t="s">
        <v>311</v>
      </c>
      <c r="F65" s="9" t="s">
        <v>312</v>
      </c>
      <c r="G65" s="9" t="s">
        <v>313</v>
      </c>
      <c r="H65" s="5" t="s">
        <v>4</v>
      </c>
      <c r="I65" s="10">
        <v>3.1</v>
      </c>
    </row>
    <row r="66" spans="1:9" ht="21.95" customHeight="1" x14ac:dyDescent="0.25">
      <c r="A66" s="2">
        <v>65</v>
      </c>
      <c r="B66" s="3" t="s">
        <v>60</v>
      </c>
      <c r="C66" s="4" t="s">
        <v>314</v>
      </c>
      <c r="D66" s="4" t="s">
        <v>315</v>
      </c>
      <c r="E66" s="4" t="s">
        <v>82</v>
      </c>
      <c r="F66" s="4" t="s">
        <v>316</v>
      </c>
      <c r="G66" s="4" t="s">
        <v>317</v>
      </c>
      <c r="H66" s="5" t="s">
        <v>3</v>
      </c>
      <c r="I66" s="6">
        <v>3.1</v>
      </c>
    </row>
    <row r="67" spans="1:9" ht="21.95" customHeight="1" x14ac:dyDescent="0.25">
      <c r="A67" s="7">
        <v>66</v>
      </c>
      <c r="B67" s="8" t="s">
        <v>60</v>
      </c>
      <c r="C67" s="9" t="s">
        <v>318</v>
      </c>
      <c r="D67" s="9" t="s">
        <v>65</v>
      </c>
      <c r="E67" s="9" t="s">
        <v>84</v>
      </c>
      <c r="F67" s="9" t="s">
        <v>319</v>
      </c>
      <c r="G67" s="9" t="s">
        <v>62</v>
      </c>
      <c r="H67" s="5" t="s">
        <v>4</v>
      </c>
      <c r="I67" s="10">
        <v>3.1</v>
      </c>
    </row>
    <row r="68" spans="1:9" ht="21.95" customHeight="1" x14ac:dyDescent="0.25">
      <c r="A68" s="2">
        <v>67</v>
      </c>
      <c r="B68" s="3" t="s">
        <v>60</v>
      </c>
      <c r="C68" s="4" t="s">
        <v>320</v>
      </c>
      <c r="D68" s="4" t="s">
        <v>321</v>
      </c>
      <c r="E68" s="4" t="s">
        <v>322</v>
      </c>
      <c r="F68" s="4" t="s">
        <v>78</v>
      </c>
      <c r="G68" s="4" t="s">
        <v>323</v>
      </c>
      <c r="H68" s="5" t="s">
        <v>3</v>
      </c>
      <c r="I68" s="6">
        <v>3.1</v>
      </c>
    </row>
    <row r="69" spans="1:9" ht="21.95" customHeight="1" x14ac:dyDescent="0.25">
      <c r="A69" s="7">
        <v>68</v>
      </c>
      <c r="B69" s="8" t="s">
        <v>60</v>
      </c>
      <c r="C69" s="9" t="s">
        <v>324</v>
      </c>
      <c r="D69" s="9" t="s">
        <v>325</v>
      </c>
      <c r="E69" s="9" t="s">
        <v>326</v>
      </c>
      <c r="F69" s="9" t="s">
        <v>327</v>
      </c>
      <c r="G69" s="9" t="s">
        <v>328</v>
      </c>
      <c r="H69" s="5" t="s">
        <v>3</v>
      </c>
      <c r="I69" s="10">
        <v>3.1</v>
      </c>
    </row>
    <row r="70" spans="1:9" ht="21.95" customHeight="1" x14ac:dyDescent="0.25">
      <c r="A70" s="2">
        <v>69</v>
      </c>
      <c r="B70" s="3" t="s">
        <v>60</v>
      </c>
      <c r="C70" s="4" t="s">
        <v>329</v>
      </c>
      <c r="D70" s="4" t="s">
        <v>330</v>
      </c>
      <c r="E70" s="4" t="s">
        <v>331</v>
      </c>
      <c r="F70" s="4" t="s">
        <v>332</v>
      </c>
      <c r="G70" s="4" t="s">
        <v>333</v>
      </c>
      <c r="H70" s="5" t="s">
        <v>3</v>
      </c>
      <c r="I70" s="6">
        <v>3.1</v>
      </c>
    </row>
    <row r="71" spans="1:9" ht="21.95" customHeight="1" x14ac:dyDescent="0.25">
      <c r="A71" s="7">
        <v>70</v>
      </c>
      <c r="B71" s="8" t="s">
        <v>60</v>
      </c>
      <c r="C71" s="9" t="s">
        <v>334</v>
      </c>
      <c r="D71" s="9" t="s">
        <v>335</v>
      </c>
      <c r="E71" s="9" t="s">
        <v>336</v>
      </c>
      <c r="F71" s="9" t="s">
        <v>337</v>
      </c>
      <c r="G71" s="9" t="s">
        <v>338</v>
      </c>
      <c r="H71" s="5" t="s">
        <v>4</v>
      </c>
      <c r="I71" s="10">
        <v>3.1</v>
      </c>
    </row>
    <row r="72" spans="1:9" ht="21.95" customHeight="1" x14ac:dyDescent="0.25">
      <c r="A72" s="2">
        <v>71</v>
      </c>
      <c r="B72" s="3" t="s">
        <v>60</v>
      </c>
      <c r="C72" s="4" t="s">
        <v>339</v>
      </c>
      <c r="D72" s="4" t="s">
        <v>340</v>
      </c>
      <c r="E72" s="4" t="s">
        <v>341</v>
      </c>
      <c r="F72" s="4" t="s">
        <v>80</v>
      </c>
      <c r="G72" s="4" t="s">
        <v>342</v>
      </c>
      <c r="H72" s="5" t="s">
        <v>3</v>
      </c>
      <c r="I72" s="6">
        <v>3.1</v>
      </c>
    </row>
    <row r="73" spans="1:9" ht="21.95" customHeight="1" x14ac:dyDescent="0.25">
      <c r="A73" s="7">
        <v>72</v>
      </c>
      <c r="B73" s="8" t="s">
        <v>60</v>
      </c>
      <c r="C73" s="9" t="s">
        <v>343</v>
      </c>
      <c r="D73" s="9" t="s">
        <v>91</v>
      </c>
      <c r="E73" s="9" t="s">
        <v>344</v>
      </c>
      <c r="F73" s="9" t="s">
        <v>345</v>
      </c>
      <c r="G73" s="9" t="s">
        <v>346</v>
      </c>
      <c r="H73" s="5" t="s">
        <v>5</v>
      </c>
      <c r="I73" s="10">
        <v>3.1</v>
      </c>
    </row>
    <row r="74" spans="1:9" ht="21.95" customHeight="1" x14ac:dyDescent="0.25">
      <c r="A74" s="2">
        <v>73</v>
      </c>
      <c r="B74" s="3" t="s">
        <v>60</v>
      </c>
      <c r="C74" s="4" t="s">
        <v>347</v>
      </c>
      <c r="D74" s="4" t="s">
        <v>348</v>
      </c>
      <c r="E74" s="4" t="s">
        <v>349</v>
      </c>
      <c r="F74" s="4" t="s">
        <v>350</v>
      </c>
      <c r="G74" s="4" t="s">
        <v>351</v>
      </c>
      <c r="H74" s="5" t="s">
        <v>3</v>
      </c>
      <c r="I74" s="6">
        <v>3.1</v>
      </c>
    </row>
    <row r="75" spans="1:9" ht="21.95" customHeight="1" x14ac:dyDescent="0.25">
      <c r="A75" s="7">
        <v>74</v>
      </c>
      <c r="B75" s="8" t="s">
        <v>60</v>
      </c>
      <c r="C75" s="9" t="s">
        <v>352</v>
      </c>
      <c r="D75" s="9" t="s">
        <v>353</v>
      </c>
      <c r="E75" s="9" t="s">
        <v>354</v>
      </c>
      <c r="F75" s="9" t="s">
        <v>355</v>
      </c>
      <c r="G75" s="9" t="s">
        <v>311</v>
      </c>
      <c r="H75" s="5" t="s">
        <v>3</v>
      </c>
      <c r="I75" s="10">
        <v>3.1</v>
      </c>
    </row>
    <row r="76" spans="1:9" ht="21.95" customHeight="1" x14ac:dyDescent="0.25">
      <c r="A76" s="2">
        <v>75</v>
      </c>
      <c r="B76" s="3" t="s">
        <v>60</v>
      </c>
      <c r="C76" s="4" t="s">
        <v>356</v>
      </c>
      <c r="D76" s="4" t="s">
        <v>357</v>
      </c>
      <c r="E76" s="4" t="s">
        <v>358</v>
      </c>
      <c r="F76" s="4" t="s">
        <v>359</v>
      </c>
      <c r="G76" s="4" t="s">
        <v>360</v>
      </c>
      <c r="H76" s="5" t="s">
        <v>3</v>
      </c>
      <c r="I76" s="6">
        <v>3.1</v>
      </c>
    </row>
    <row r="77" spans="1:9" ht="21.95" customHeight="1" x14ac:dyDescent="0.25">
      <c r="A77" s="7">
        <v>76</v>
      </c>
      <c r="B77" s="8" t="s">
        <v>60</v>
      </c>
      <c r="C77" s="9" t="s">
        <v>361</v>
      </c>
      <c r="D77" s="9" t="s">
        <v>311</v>
      </c>
      <c r="E77" s="9" t="s">
        <v>312</v>
      </c>
      <c r="F77" s="9" t="s">
        <v>323</v>
      </c>
      <c r="G77" s="9" t="s">
        <v>362</v>
      </c>
      <c r="H77" s="5" t="s">
        <v>4</v>
      </c>
      <c r="I77" s="10">
        <v>3.1</v>
      </c>
    </row>
    <row r="78" spans="1:9" ht="21.95" customHeight="1" x14ac:dyDescent="0.25">
      <c r="A78" s="2">
        <v>77</v>
      </c>
      <c r="B78" s="3" t="s">
        <v>60</v>
      </c>
      <c r="C78" s="4" t="s">
        <v>363</v>
      </c>
      <c r="D78" s="4" t="s">
        <v>364</v>
      </c>
      <c r="E78" s="4" t="s">
        <v>365</v>
      </c>
      <c r="F78" s="4" t="s">
        <v>366</v>
      </c>
      <c r="G78" s="4" t="s">
        <v>367</v>
      </c>
      <c r="H78" s="5" t="s">
        <v>3</v>
      </c>
      <c r="I78" s="6">
        <v>3.1</v>
      </c>
    </row>
    <row r="79" spans="1:9" ht="21.95" customHeight="1" x14ac:dyDescent="0.25">
      <c r="A79" s="7">
        <v>78</v>
      </c>
      <c r="B79" s="8" t="s">
        <v>60</v>
      </c>
      <c r="C79" s="9" t="s">
        <v>368</v>
      </c>
      <c r="D79" s="9" t="s">
        <v>369</v>
      </c>
      <c r="E79" s="9" t="s">
        <v>370</v>
      </c>
      <c r="F79" s="9" t="s">
        <v>371</v>
      </c>
      <c r="G79" s="9" t="s">
        <v>372</v>
      </c>
      <c r="H79" s="5" t="s">
        <v>3</v>
      </c>
      <c r="I79" s="10">
        <v>3.1</v>
      </c>
    </row>
    <row r="80" spans="1:9" ht="21.95" customHeight="1" x14ac:dyDescent="0.25">
      <c r="A80" s="2">
        <v>79</v>
      </c>
      <c r="B80" s="3" t="s">
        <v>60</v>
      </c>
      <c r="C80" s="4" t="s">
        <v>373</v>
      </c>
      <c r="D80" s="4" t="s">
        <v>310</v>
      </c>
      <c r="E80" s="4" t="s">
        <v>312</v>
      </c>
      <c r="F80" s="4" t="s">
        <v>362</v>
      </c>
      <c r="G80" s="4" t="s">
        <v>374</v>
      </c>
      <c r="H80" s="5" t="s">
        <v>5</v>
      </c>
      <c r="I80" s="6">
        <v>3.1</v>
      </c>
    </row>
    <row r="81" spans="1:9" ht="21.95" customHeight="1" x14ac:dyDescent="0.25">
      <c r="A81" s="7">
        <v>80</v>
      </c>
      <c r="B81" s="8" t="s">
        <v>60</v>
      </c>
      <c r="C81" s="9" t="s">
        <v>375</v>
      </c>
      <c r="D81" s="9" t="s">
        <v>79</v>
      </c>
      <c r="E81" s="9" t="s">
        <v>91</v>
      </c>
      <c r="F81" s="9" t="s">
        <v>321</v>
      </c>
      <c r="G81" s="9" t="s">
        <v>80</v>
      </c>
      <c r="H81" s="5" t="s">
        <v>3</v>
      </c>
      <c r="I81" s="10">
        <v>3.1</v>
      </c>
    </row>
    <row r="82" spans="1:9" ht="21.95" customHeight="1" x14ac:dyDescent="0.25">
      <c r="A82" s="2">
        <v>81</v>
      </c>
      <c r="B82" s="3" t="s">
        <v>60</v>
      </c>
      <c r="C82" s="4" t="s">
        <v>376</v>
      </c>
      <c r="D82" s="4" t="s">
        <v>321</v>
      </c>
      <c r="E82" s="4" t="s">
        <v>78</v>
      </c>
      <c r="F82" s="4" t="s">
        <v>322</v>
      </c>
      <c r="G82" s="4" t="s">
        <v>312</v>
      </c>
      <c r="H82" s="5" t="s">
        <v>3</v>
      </c>
      <c r="I82" s="6">
        <v>3.1</v>
      </c>
    </row>
    <row r="83" spans="1:9" ht="21.95" customHeight="1" x14ac:dyDescent="0.25">
      <c r="A83" s="7">
        <v>82</v>
      </c>
      <c r="B83" s="8" t="s">
        <v>60</v>
      </c>
      <c r="C83" s="9" t="s">
        <v>377</v>
      </c>
      <c r="D83" s="9" t="s">
        <v>378</v>
      </c>
      <c r="E83" s="9" t="s">
        <v>323</v>
      </c>
      <c r="F83" s="9" t="s">
        <v>379</v>
      </c>
      <c r="G83" s="9" t="s">
        <v>380</v>
      </c>
      <c r="H83" s="5" t="s">
        <v>3</v>
      </c>
      <c r="I83" s="10">
        <v>3.1</v>
      </c>
    </row>
    <row r="84" spans="1:9" ht="21.95" customHeight="1" x14ac:dyDescent="0.25">
      <c r="A84" s="2">
        <v>83</v>
      </c>
      <c r="B84" s="3" t="s">
        <v>60</v>
      </c>
      <c r="C84" s="4" t="s">
        <v>381</v>
      </c>
      <c r="D84" s="4" t="s">
        <v>382</v>
      </c>
      <c r="E84" s="4" t="s">
        <v>383</v>
      </c>
      <c r="F84" s="4" t="s">
        <v>384</v>
      </c>
      <c r="G84" s="4" t="s">
        <v>385</v>
      </c>
      <c r="H84" s="5" t="s">
        <v>3</v>
      </c>
      <c r="I84" s="6">
        <v>3.1</v>
      </c>
    </row>
    <row r="85" spans="1:9" ht="21.95" customHeight="1" x14ac:dyDescent="0.25">
      <c r="A85" s="7">
        <v>84</v>
      </c>
      <c r="B85" s="8" t="s">
        <v>60</v>
      </c>
      <c r="C85" s="9" t="s">
        <v>386</v>
      </c>
      <c r="D85" s="9" t="s">
        <v>310</v>
      </c>
      <c r="E85" s="9" t="s">
        <v>311</v>
      </c>
      <c r="F85" s="9" t="s">
        <v>387</v>
      </c>
      <c r="G85" s="9" t="s">
        <v>388</v>
      </c>
      <c r="H85" s="5" t="s">
        <v>4</v>
      </c>
      <c r="I85" s="10">
        <v>3.1</v>
      </c>
    </row>
    <row r="86" spans="1:9" ht="21.95" customHeight="1" x14ac:dyDescent="0.25">
      <c r="A86" s="2">
        <v>85</v>
      </c>
      <c r="B86" s="3" t="s">
        <v>60</v>
      </c>
      <c r="C86" s="4" t="s">
        <v>389</v>
      </c>
      <c r="D86" s="4" t="s">
        <v>390</v>
      </c>
      <c r="E86" s="4" t="s">
        <v>391</v>
      </c>
      <c r="F86" s="4" t="s">
        <v>392</v>
      </c>
      <c r="G86" s="4" t="s">
        <v>393</v>
      </c>
      <c r="H86" s="5" t="s">
        <v>3</v>
      </c>
      <c r="I86" s="6">
        <v>3.1</v>
      </c>
    </row>
    <row r="87" spans="1:9" ht="21.95" customHeight="1" x14ac:dyDescent="0.25">
      <c r="A87" s="7">
        <v>86</v>
      </c>
      <c r="B87" s="8" t="s">
        <v>60</v>
      </c>
      <c r="C87" s="9" t="s">
        <v>394</v>
      </c>
      <c r="D87" s="9" t="s">
        <v>395</v>
      </c>
      <c r="E87" s="9" t="s">
        <v>396</v>
      </c>
      <c r="F87" s="9" t="s">
        <v>397</v>
      </c>
      <c r="G87" s="9" t="s">
        <v>398</v>
      </c>
      <c r="H87" s="5" t="s">
        <v>4</v>
      </c>
      <c r="I87" s="10">
        <v>3.1</v>
      </c>
    </row>
    <row r="88" spans="1:9" ht="21.95" customHeight="1" x14ac:dyDescent="0.25">
      <c r="A88" s="2">
        <v>87</v>
      </c>
      <c r="B88" s="3" t="s">
        <v>60</v>
      </c>
      <c r="C88" s="4" t="s">
        <v>399</v>
      </c>
      <c r="D88" s="4" t="s">
        <v>79</v>
      </c>
      <c r="E88" s="4" t="s">
        <v>80</v>
      </c>
      <c r="F88" s="4" t="s">
        <v>63</v>
      </c>
      <c r="G88" s="4" t="s">
        <v>400</v>
      </c>
      <c r="H88" s="5" t="s">
        <v>3</v>
      </c>
      <c r="I88" s="6">
        <v>3.1</v>
      </c>
    </row>
    <row r="89" spans="1:9" ht="21.95" customHeight="1" x14ac:dyDescent="0.25">
      <c r="A89" s="7">
        <v>88</v>
      </c>
      <c r="B89" s="8" t="s">
        <v>60</v>
      </c>
      <c r="C89" s="9" t="s">
        <v>401</v>
      </c>
      <c r="D89" s="9" t="s">
        <v>402</v>
      </c>
      <c r="E89" s="9" t="s">
        <v>403</v>
      </c>
      <c r="F89" s="9" t="s">
        <v>404</v>
      </c>
      <c r="G89" s="9" t="s">
        <v>405</v>
      </c>
      <c r="H89" s="5" t="s">
        <v>3</v>
      </c>
      <c r="I89" s="10">
        <v>3.1</v>
      </c>
    </row>
    <row r="90" spans="1:9" ht="21.95" customHeight="1" x14ac:dyDescent="0.25">
      <c r="A90" s="2">
        <v>89</v>
      </c>
      <c r="B90" s="3" t="s">
        <v>60</v>
      </c>
      <c r="C90" s="4" t="s">
        <v>406</v>
      </c>
      <c r="D90" s="4" t="s">
        <v>323</v>
      </c>
      <c r="E90" s="4" t="s">
        <v>77</v>
      </c>
      <c r="F90" s="4" t="s">
        <v>407</v>
      </c>
      <c r="G90" s="4" t="s">
        <v>408</v>
      </c>
      <c r="H90" s="5" t="s">
        <v>5</v>
      </c>
      <c r="I90" s="6">
        <v>3.1</v>
      </c>
    </row>
    <row r="91" spans="1:9" ht="21.95" customHeight="1" x14ac:dyDescent="0.25">
      <c r="A91" s="7">
        <v>90</v>
      </c>
      <c r="B91" s="8" t="s">
        <v>60</v>
      </c>
      <c r="C91" s="9" t="s">
        <v>409</v>
      </c>
      <c r="D91" s="9" t="s">
        <v>410</v>
      </c>
      <c r="E91" s="9" t="s">
        <v>327</v>
      </c>
      <c r="F91" s="9" t="s">
        <v>411</v>
      </c>
      <c r="G91" s="9" t="s">
        <v>412</v>
      </c>
      <c r="H91" s="5" t="s">
        <v>3</v>
      </c>
      <c r="I91" s="10">
        <v>3.1</v>
      </c>
    </row>
  </sheetData>
  <autoFilter ref="A1:I9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defaultRowHeight="15" x14ac:dyDescent="0.25"/>
  <cols>
    <col min="1" max="1" width="10" customWidth="1"/>
    <col min="2" max="2" width="38" customWidth="1"/>
    <col min="3" max="3" width="16" customWidth="1"/>
    <col min="4" max="4" width="20" customWidth="1"/>
    <col min="5" max="5" width="16" customWidth="1"/>
    <col min="6" max="6" width="14" customWidth="1"/>
  </cols>
  <sheetData>
    <row r="1" spans="1:6" ht="35.1" customHeight="1" x14ac:dyDescent="0.25">
      <c r="A1" s="24" t="s">
        <v>413</v>
      </c>
      <c r="B1" s="25"/>
      <c r="C1" s="25"/>
      <c r="D1" s="25"/>
      <c r="E1" s="25"/>
      <c r="F1" s="25"/>
    </row>
    <row r="3" spans="1:6" ht="20.25" x14ac:dyDescent="0.35">
      <c r="A3" s="11" t="s">
        <v>414</v>
      </c>
      <c r="B3" s="12">
        <f>COUNTA(Savollar_Bazasi!A2:A91)</f>
        <v>90</v>
      </c>
      <c r="D3" s="11" t="s">
        <v>415</v>
      </c>
      <c r="E3" s="13">
        <f>SUM(Savollar_Bazasi!I2:I91)</f>
        <v>188.99999999999977</v>
      </c>
    </row>
    <row r="6" spans="1:6" ht="24.95" customHeight="1" x14ac:dyDescent="0.25">
      <c r="A6" s="14" t="s">
        <v>416</v>
      </c>
      <c r="B6" s="14" t="s">
        <v>417</v>
      </c>
      <c r="C6" s="14" t="s">
        <v>418</v>
      </c>
      <c r="D6" s="14" t="s">
        <v>419</v>
      </c>
      <c r="E6" s="14" t="s">
        <v>420</v>
      </c>
      <c r="F6" s="14" t="s">
        <v>421</v>
      </c>
    </row>
    <row r="7" spans="1:6" ht="20.100000000000001" customHeight="1" x14ac:dyDescent="0.25">
      <c r="A7" s="15">
        <v>1</v>
      </c>
      <c r="B7" s="16" t="s">
        <v>422</v>
      </c>
      <c r="C7" s="15">
        <v>10</v>
      </c>
      <c r="D7" s="17">
        <v>1.1000000000000001</v>
      </c>
      <c r="E7" s="18">
        <f>C7*D7</f>
        <v>11</v>
      </c>
      <c r="F7" s="19">
        <f>E7/$E$12</f>
        <v>5.8201058201058198E-2</v>
      </c>
    </row>
    <row r="8" spans="1:6" ht="20.100000000000001" customHeight="1" x14ac:dyDescent="0.25">
      <c r="A8" s="15">
        <v>2</v>
      </c>
      <c r="B8" s="16" t="s">
        <v>423</v>
      </c>
      <c r="C8" s="15">
        <v>10</v>
      </c>
      <c r="D8" s="17">
        <v>1.1000000000000001</v>
      </c>
      <c r="E8" s="18">
        <f>C8*D8</f>
        <v>11</v>
      </c>
      <c r="F8" s="19">
        <f>E8/$E$12</f>
        <v>5.8201058201058198E-2</v>
      </c>
    </row>
    <row r="9" spans="1:6" ht="20.100000000000001" customHeight="1" x14ac:dyDescent="0.25">
      <c r="A9" s="15">
        <v>3</v>
      </c>
      <c r="B9" s="16" t="s">
        <v>424</v>
      </c>
      <c r="C9" s="15">
        <v>10</v>
      </c>
      <c r="D9" s="17">
        <v>1.1000000000000001</v>
      </c>
      <c r="E9" s="18">
        <f>C9*D9</f>
        <v>11</v>
      </c>
      <c r="F9" s="19">
        <f>E9/$E$12</f>
        <v>5.8201058201058198E-2</v>
      </c>
    </row>
    <row r="10" spans="1:6" ht="20.100000000000001" customHeight="1" x14ac:dyDescent="0.25">
      <c r="A10" s="15">
        <v>4</v>
      </c>
      <c r="B10" s="16" t="s">
        <v>425</v>
      </c>
      <c r="C10" s="15">
        <v>30</v>
      </c>
      <c r="D10" s="17">
        <v>2.1</v>
      </c>
      <c r="E10" s="18">
        <f>C10*D10</f>
        <v>63</v>
      </c>
      <c r="F10" s="19">
        <f>E10/$E$12</f>
        <v>0.33333333333333331</v>
      </c>
    </row>
    <row r="11" spans="1:6" ht="20.100000000000001" customHeight="1" x14ac:dyDescent="0.25">
      <c r="A11" s="15">
        <v>5</v>
      </c>
      <c r="B11" s="16" t="s">
        <v>426</v>
      </c>
      <c r="C11" s="15">
        <v>30</v>
      </c>
      <c r="D11" s="17">
        <v>3.1</v>
      </c>
      <c r="E11" s="18">
        <f>C11*D11</f>
        <v>93</v>
      </c>
      <c r="F11" s="19">
        <f>E11/$E$12</f>
        <v>0.49206349206349204</v>
      </c>
    </row>
    <row r="12" spans="1:6" ht="24" customHeight="1" x14ac:dyDescent="0.3">
      <c r="A12" s="20" t="s">
        <v>427</v>
      </c>
      <c r="B12" s="21" t="s">
        <v>428</v>
      </c>
      <c r="C12" s="20">
        <f>SUM(C7:C11)</f>
        <v>90</v>
      </c>
      <c r="D12" s="20" t="s">
        <v>201</v>
      </c>
      <c r="E12" s="22">
        <f>SUM(E7:E11)</f>
        <v>189</v>
      </c>
      <c r="F12" s="23">
        <f>SUM(F7:F11)</f>
        <v>1</v>
      </c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Savollar_Bazasi</vt:lpstr>
      <vt:lpstr>Xulosa_va_Statistika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2026-07-30T13:48:23Z</dcterms:created>
  <dcterms:modified xsi:type="dcterms:W3CDTF">2026-07-30T13:49:22Z</dcterms:modified>
</cp:coreProperties>
</file>